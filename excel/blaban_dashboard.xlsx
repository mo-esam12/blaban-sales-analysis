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booo\Projects\B.Laban Sales\"/>
    </mc:Choice>
  </mc:AlternateContent>
  <xr:revisionPtr revIDLastSave="0" documentId="13_ncr:1_{39E70CB5-51FD-43A5-B1B7-DA8101D2627B}" xr6:coauthVersionLast="47" xr6:coauthVersionMax="47" xr10:uidLastSave="{00000000-0000-0000-0000-000000000000}"/>
  <bookViews>
    <workbookView xWindow="9615" yWindow="495" windowWidth="19290" windowHeight="11295" tabRatio="547" firstSheet="12" activeTab="12" xr2:uid="{FE4DB0C2-B3EE-4255-B808-5BA5956C6543}"/>
  </bookViews>
  <sheets>
    <sheet name="Revenue_Monthly" sheetId="3" state="hidden" r:id="rId1"/>
    <sheet name="Revenue_Category" sheetId="4" state="hidden" r:id="rId2"/>
    <sheet name="Customer_Membership" sheetId="5" state="hidden" r:id="rId3"/>
    <sheet name="Customer_AgeGroup" sheetId="6" state="hidden" r:id="rId4"/>
    <sheet name="Ops_PeakHours" sheetId="7" state="hidden" r:id="rId5"/>
    <sheet name="Ops_Delivery" sheetId="8" state="hidden" r:id="rId6"/>
    <sheet name="External_Holiday" sheetId="9" state="hidden" r:id="rId7"/>
    <sheet name="External_Temperature" sheetId="10" state="hidden" r:id="rId8"/>
    <sheet name="External_Humidity" sheetId="11" state="hidden" r:id="rId9"/>
    <sheet name="Revenue_Product" sheetId="2" state="hidden" r:id="rId10"/>
    <sheet name="Revenue_Branch" sheetId="1" state="hidden" r:id="rId11"/>
    <sheet name="KPIs" sheetId="12" state="hidden" r:id="rId12"/>
    <sheet name="Dashboard" sheetId="13" r:id="rId13"/>
  </sheets>
  <definedNames>
    <definedName name="ExternalData_1" localSheetId="2" hidden="1">'Customer_Membership'!$A$1:$E$5</definedName>
    <definedName name="ExternalData_1" localSheetId="6" hidden="1">External_Holiday!$A$1:$E$3</definedName>
    <definedName name="ExternalData_1" localSheetId="8" hidden="1">External_Humidity!$A$1:$D$4</definedName>
    <definedName name="ExternalData_1" localSheetId="7" hidden="1">External_Temperature!$A$1:$D$4</definedName>
    <definedName name="ExternalData_1" localSheetId="11" hidden="1">KPIs!$A$1:$G$2</definedName>
    <definedName name="ExternalData_1" localSheetId="5" hidden="1">Ops_Delivery!$A$1:$E$9</definedName>
    <definedName name="ExternalData_1" localSheetId="4" hidden="1">Ops_PeakHours!$A$1:$D$25</definedName>
    <definedName name="ExternalData_1" localSheetId="10" hidden="1">'Revenue_Branch'!$A$1:$E$9</definedName>
    <definedName name="ExternalData_1" localSheetId="1" hidden="1">'Revenue_Category'!$A$1:$D$5</definedName>
    <definedName name="ExternalData_1" localSheetId="9" hidden="1">'Revenue_Product'!$A$1:$F$9</definedName>
    <definedName name="ExternalData_2" localSheetId="3" hidden="1">'Customer_AgeGroup'!$A$1:$D$7</definedName>
    <definedName name="ExternalData_2" localSheetId="0" hidden="1">'Revenue_Monthly'!$A$1:$E$5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" i="13" l="1"/>
  <c r="T16" i="13"/>
  <c r="T17" i="13"/>
  <c r="T18" i="13"/>
  <c r="T19" i="13"/>
  <c r="T20" i="13"/>
  <c r="T21" i="13"/>
  <c r="T14" i="13"/>
  <c r="R15" i="13"/>
  <c r="R16" i="13"/>
  <c r="R17" i="13"/>
  <c r="R18" i="13"/>
  <c r="R19" i="13"/>
  <c r="R20" i="13"/>
  <c r="R21" i="13"/>
  <c r="R14" i="13"/>
  <c r="P15" i="13"/>
  <c r="P16" i="13"/>
  <c r="P17" i="13"/>
  <c r="P18" i="13"/>
  <c r="P19" i="13"/>
  <c r="P20" i="13"/>
  <c r="P21" i="13"/>
  <c r="P14" i="13"/>
  <c r="L14" i="13"/>
  <c r="L15" i="13"/>
  <c r="L16" i="13"/>
  <c r="L17" i="13"/>
  <c r="L18" i="13"/>
  <c r="L19" i="13"/>
  <c r="L20" i="13"/>
  <c r="L21" i="13"/>
  <c r="N21" i="13"/>
  <c r="N15" i="13"/>
  <c r="N16" i="13"/>
  <c r="N17" i="13"/>
  <c r="N18" i="13"/>
  <c r="N19" i="13"/>
  <c r="N20" i="13"/>
  <c r="N14" i="13"/>
  <c r="F2" i="1"/>
  <c r="F3" i="1"/>
  <c r="F4" i="1"/>
  <c r="F5" i="1"/>
  <c r="F6" i="1"/>
  <c r="F7" i="1"/>
  <c r="F8" i="1"/>
  <c r="F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D5FDBD-0920-4414-9269-6B6C271B8B29}" keepAlive="1" name="Query - Customer_AgeGroup" description="Connection to the 'Customer_AgeGroup' query in the workbook." type="5" refreshedVersion="7" background="1" saveData="1">
    <dbPr connection="Provider=Microsoft.Mashup.OleDb.1;Data Source=$Workbook$;Location=Customer_AgeGroup;Extended Properties=&quot;&quot;" command="SELECT * FROM [Customer_AgeGroup]"/>
  </connection>
  <connection id="2" xr16:uid="{2FF74134-D54E-40A6-928A-70AA8D950E42}" keepAlive="1" name="Query - Customer_Membership" description="Connection to the 'Customer_Membership' query in the workbook." type="5" refreshedVersion="7" background="1" saveData="1">
    <dbPr connection="Provider=Microsoft.Mashup.OleDb.1;Data Source=$Workbook$;Location=Customer_Membership;Extended Properties=&quot;&quot;" command="SELECT * FROM [Customer_Membership]"/>
  </connection>
  <connection id="3" xr16:uid="{C8E10855-066C-4B6A-9919-9B9F83BB6C52}" keepAlive="1" name="Query - External_Holiday" description="Connection to the 'External_Holiday' query in the workbook." type="5" refreshedVersion="7" background="1" saveData="1">
    <dbPr connection="Provider=Microsoft.Mashup.OleDb.1;Data Source=$Workbook$;Location=External_Holiday;Extended Properties=&quot;&quot;" command="SELECT * FROM [External_Holiday]"/>
  </connection>
  <connection id="4" xr16:uid="{86096F4F-88DB-4EB3-8715-702C6D42ADC1}" keepAlive="1" name="Query - External_Humidity" description="Connection to the 'External_Humidity' query in the workbook." type="5" refreshedVersion="7" background="1" saveData="1">
    <dbPr connection="Provider=Microsoft.Mashup.OleDb.1;Data Source=$Workbook$;Location=External_Humidity;Extended Properties=&quot;&quot;" command="SELECT * FROM [External_Humidity]"/>
  </connection>
  <connection id="5" xr16:uid="{6EFA1E2A-7CF7-41EA-BEF1-A22925C809A7}" keepAlive="1" name="Query - External_Temperature" description="Connection to the 'External_Temperature' query in the workbook." type="5" refreshedVersion="7" background="1" saveData="1">
    <dbPr connection="Provider=Microsoft.Mashup.OleDb.1;Data Source=$Workbook$;Location=External_Temperature;Extended Properties=&quot;&quot;" command="SELECT * FROM [External_Temperature]"/>
  </connection>
  <connection id="6" xr16:uid="{F92140A4-7167-49F5-8B8D-4780BCE9229B}" keepAlive="1" name="Query - KPIs" description="Connection to the 'KPIs' query in the workbook." type="5" refreshedVersion="7" background="1" saveData="1">
    <dbPr connection="Provider=Microsoft.Mashup.OleDb.1;Data Source=$Workbook$;Location=KPIs;Extended Properties=&quot;&quot;" command="SELECT * FROM [KPIs]"/>
  </connection>
  <connection id="7" xr16:uid="{628A492B-710A-4CE9-B3E7-4656D02362A7}" keepAlive="1" name="Query - Ops_Delivery" description="Connection to the 'Ops_Delivery' query in the workbook." type="5" refreshedVersion="7" background="1" saveData="1">
    <dbPr connection="Provider=Microsoft.Mashup.OleDb.1;Data Source=$Workbook$;Location=Ops_Delivery;Extended Properties=&quot;&quot;" command="SELECT * FROM [Ops_Delivery]"/>
  </connection>
  <connection id="8" xr16:uid="{85AF0F54-D2A3-49C4-85CB-228B3AB58866}" keepAlive="1" name="Query - Ops_PeakHours" description="Connection to the 'Ops_PeakHours' query in the workbook." type="5" refreshedVersion="7" background="1" saveData="1">
    <dbPr connection="Provider=Microsoft.Mashup.OleDb.1;Data Source=$Workbook$;Location=Ops_PeakHours;Extended Properties=&quot;&quot;" command="SELECT * FROM [Ops_PeakHours]"/>
  </connection>
  <connection id="9" xr16:uid="{7D8BE9C9-5596-45C7-BBC0-4C908373486F}" keepAlive="1" name="Query - Revenue_Branch" description="Connection to the 'Revenue_Branch' query in the workbook." type="5" refreshedVersion="7" background="1" saveData="1">
    <dbPr connection="Provider=Microsoft.Mashup.OleDb.1;Data Source=$Workbook$;Location=Revenue_Branch;Extended Properties=&quot;&quot;" command="SELECT * FROM [Revenue_Branch]"/>
  </connection>
  <connection id="10" xr16:uid="{B970A8F7-FEA3-49FF-9807-25F808F7C5AC}" keepAlive="1" name="Query - Revenue_Category" description="Connection to the 'Revenue_Category' query in the workbook." type="5" refreshedVersion="7" background="1" saveData="1">
    <dbPr connection="Provider=Microsoft.Mashup.OleDb.1;Data Source=$Workbook$;Location=Revenue_Category;Extended Properties=&quot;&quot;" command="SELECT * FROM [Revenue_Category]"/>
  </connection>
  <connection id="11" xr16:uid="{8E7C738D-CCE3-4344-8E83-48A39A44632B}" keepAlive="1" name="Query - Revenue_Monthly" description="Connection to the 'Revenue_Monthly' query in the workbook." type="5" refreshedVersion="7" background="1" saveData="1">
    <dbPr connection="Provider=Microsoft.Mashup.OleDb.1;Data Source=$Workbook$;Location=Revenue_Monthly;Extended Properties=&quot;&quot;" command="SELECT * FROM [Revenue_Monthly]"/>
  </connection>
  <connection id="12" xr16:uid="{97EC1CB8-4E61-4A6D-9C83-E511D8D3E18A}" keepAlive="1" name="Query - Revenue_Product" description="Connection to the 'Revenue_Product' query in the workbook." type="5" refreshedVersion="7" background="1" saveData="1">
    <dbPr connection="Provider=Microsoft.Mashup.OleDb.1;Data Source=$Workbook$;Location=Revenue_Product;Extended Properties=&quot;&quot;" command="SELECT * FROM [Revenue_Product]"/>
  </connection>
</connections>
</file>

<file path=xl/sharedStrings.xml><?xml version="1.0" encoding="utf-8"?>
<sst xmlns="http://schemas.openxmlformats.org/spreadsheetml/2006/main" count="150" uniqueCount="96">
  <si>
    <t>Branch</t>
  </si>
  <si>
    <t>total_orders</t>
  </si>
  <si>
    <t>total_revenue</t>
  </si>
  <si>
    <t>avg_order_value</t>
  </si>
  <si>
    <t>revenue_pct</t>
  </si>
  <si>
    <t>Cairo-Nasr City</t>
  </si>
  <si>
    <t>Cairo-Zamalek</t>
  </si>
  <si>
    <t>Giza-Zayed</t>
  </si>
  <si>
    <t>Riyadh-Olaya</t>
  </si>
  <si>
    <t>Dubai-Marina</t>
  </si>
  <si>
    <t>Mansoura-Mashaya</t>
  </si>
  <si>
    <t>Tanta-Saeed</t>
  </si>
  <si>
    <t>Alex-Stanly</t>
  </si>
  <si>
    <t>Product_Name</t>
  </si>
  <si>
    <t>Category</t>
  </si>
  <si>
    <t>avg_qty_per_order</t>
  </si>
  <si>
    <t>Sweet Koshary Mix</t>
  </si>
  <si>
    <t>Signature</t>
  </si>
  <si>
    <t>Qishtouza Nutella</t>
  </si>
  <si>
    <t>Modern</t>
  </si>
  <si>
    <t>Rice Pudding Oven</t>
  </si>
  <si>
    <t>Traditional</t>
  </si>
  <si>
    <t>Om Ali Cream</t>
  </si>
  <si>
    <t>Qishtouza Lotus</t>
  </si>
  <si>
    <t>Rice Pudding Nuts</t>
  </si>
  <si>
    <t>Super B.Laban</t>
  </si>
  <si>
    <t>Ice Cream Mango</t>
  </si>
  <si>
    <t>Ice Cream</t>
  </si>
  <si>
    <t>month</t>
  </si>
  <si>
    <t>2024-01</t>
  </si>
  <si>
    <t>2024-02</t>
  </si>
  <si>
    <t>2024-03</t>
  </si>
  <si>
    <t>2024-04</t>
  </si>
  <si>
    <t>Membership_Status</t>
  </si>
  <si>
    <t>unique_customers</t>
  </si>
  <si>
    <t>None-Member</t>
  </si>
  <si>
    <t>Gold</t>
  </si>
  <si>
    <t>Silver</t>
  </si>
  <si>
    <t>Bronze</t>
  </si>
  <si>
    <t>age_group</t>
  </si>
  <si>
    <t>36-45</t>
  </si>
  <si>
    <t>46-60</t>
  </si>
  <si>
    <t>Above 60</t>
  </si>
  <si>
    <t>26-35</t>
  </si>
  <si>
    <t>18-25</t>
  </si>
  <si>
    <t>Under 18</t>
  </si>
  <si>
    <t>Hour_of_Day</t>
  </si>
  <si>
    <t>0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</si>
  <si>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</si>
  <si>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</si>
  <si>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</si>
  <si>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</si>
  <si>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</si>
  <si>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</si>
  <si>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</si>
  <si>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</si>
  <si>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</si>
  <si>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</si>
  <si>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</si>
  <si>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</si>
  <si>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</si>
  <si>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</si>
  <si>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</si>
  <si>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</si>
  <si>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3</t>
  </si>
  <si>
    <t>4</t>
  </si>
  <si>
    <t>5</t>
  </si>
  <si>
    <t>6</t>
  </si>
  <si>
    <t>7</t>
  </si>
  <si>
    <t>8</t>
  </si>
  <si>
    <t>9</t>
  </si>
  <si>
    <t>avg_delivery_time</t>
  </si>
  <si>
    <t>avg_rating</t>
  </si>
  <si>
    <t>avg_distance</t>
  </si>
  <si>
    <t>day_type</t>
  </si>
  <si>
    <t>Public Holiday</t>
  </si>
  <si>
    <t>Normal Day</t>
  </si>
  <si>
    <t>temp_band</t>
  </si>
  <si>
    <t>Warm (25–35°C)</t>
  </si>
  <si>
    <t>Hot (&gt; 35°C)</t>
  </si>
  <si>
    <t>Mild (15–25°C)</t>
  </si>
  <si>
    <t>humidity_band</t>
  </si>
  <si>
    <t>Moderate (30–60%)</t>
  </si>
  <si>
    <t>High (&gt; 60%)</t>
  </si>
  <si>
    <t>Low (&lt; 30%)</t>
  </si>
  <si>
    <t>avg_discount_pct</t>
  </si>
  <si>
    <t>revenue_per_customer</t>
  </si>
  <si>
    <t>Month Label</t>
  </si>
  <si>
    <t>Jan</t>
  </si>
  <si>
    <t>Feb</t>
  </si>
  <si>
    <t>Mar</t>
  </si>
  <si>
    <t>Apr</t>
  </si>
  <si>
    <t>Rank</t>
  </si>
  <si>
    <t>Total Revenue</t>
  </si>
  <si>
    <t>Orders</t>
  </si>
  <si>
    <t>Revenue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</si>
</sst>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EGP]\ #,##0_);\([$EGP]\ #,##0\)"/>
    <numFmt numFmtId="165" formatCode="[$EGP]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3F7F"/>
      <name val="Calibri"/>
      <family val="2"/>
      <scheme val="minor"/>
    </font>
    <font>
      <b/>
      <sz val="11"/>
      <color rgb="FF003F7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F5FC"/>
        <bgColor indexed="64"/>
      </patternFill>
    </fill>
    <fill>
      <patternFill patternType="solid">
        <fgColor rgb="FF003F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F1FB"/>
        <bgColor indexed="64"/>
      </patternFill>
    </fill>
    <fill>
      <patternFill patternType="solid">
        <fgColor rgb="FFBDDA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0" fontId="0" fillId="2" borderId="0" xfId="0" applyFill="1"/>
    <xf numFmtId="164" fontId="0" fillId="0" borderId="0" xfId="1" applyNumberFormat="1" applyFont="1"/>
    <xf numFmtId="165" fontId="0" fillId="0" borderId="0" xfId="0" applyNumberFormat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/>
    <xf numFmtId="0" fontId="4" fillId="6" borderId="0" xfId="0" applyFont="1" applyFill="1" applyBorder="1" applyAlignment="1">
      <alignment horizontal="center"/>
    </xf>
    <xf numFmtId="165" fontId="4" fillId="6" borderId="0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165" fontId="3" fillId="4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165" fontId="3" fillId="5" borderId="0" xfId="0" applyNumberFormat="1" applyFont="1" applyFill="1" applyBorder="1" applyAlignment="1">
      <alignment horizontal="center"/>
    </xf>
    <xf numFmtId="2" fontId="0" fillId="0" borderId="0" xfId="0" applyNumberFormat="1"/>
  </cellXfs>
  <cellStyles count="2">
    <cellStyle name="Comma" xfId="1" builtinId="3"/>
    <cellStyle name="Normal" xfId="0" builtinId="0"/>
  </cellStyles>
  <dxfs count="16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EGP]\ #,##0"/>
    </dxf>
    <dxf>
      <numFmt numFmtId="164" formatCode="[$EGP]\ #,##0_);\([$EGP]\ #,##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72BC"/>
      <color rgb="FFB5D4F4"/>
      <color rgb="FF85B7EB"/>
      <color rgb="FF00AEEF"/>
      <color rgb="FF003F7F"/>
      <color rgb="FFBDDAF5"/>
      <color rgb="FFE6F1FB"/>
      <color rgb="FFF5F9FE"/>
      <color rgb="FF185FA5"/>
      <color rgb="FFEEF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3F7F"/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'Revenue_Monthly'!$D$1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31750" cap="rnd">
              <a:solidFill>
                <a:srgbClr val="0072BC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72BC"/>
              </a:solidFill>
              <a:ln w="12700">
                <a:solidFill>
                  <a:schemeClr val="bg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7.7913666892443251E-2"/>
                  <c:y val="-0.12223430876701837"/>
                </c:manualLayout>
              </c:layout>
              <c:numFmt formatCode="_([$EGP]\ * #,##0_);_([$EGP]\ * \(#,##0\);_([$EGP]\ 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72139517551898"/>
                      <c:h val="0.1256762229235719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735-4CBC-B152-BB3CC3B08BDE}"/>
                </c:ext>
              </c:extLst>
            </c:dLbl>
            <c:dLbl>
              <c:idx val="2"/>
              <c:numFmt formatCode="_([$EGP]\ * #,##0_);_([$EGP]\ * \(#,##0\);_([$EGP]\ 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018485540350524"/>
                      <c:h val="0.104712762070771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735-4CBC-B152-BB3CC3B08BDE}"/>
                </c:ext>
              </c:extLst>
            </c:dLbl>
            <c:dLbl>
              <c:idx val="3"/>
              <c:layout>
                <c:manualLayout>
                  <c:x val="-3.9715571907119301E-2"/>
                  <c:y val="-8.0307662172452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35-4CBC-B152-BB3CC3B08BDE}"/>
                </c:ext>
              </c:extLst>
            </c:dLbl>
            <c:numFmt formatCode="_([$EGP]\ * #,##0_);_([$EGP]\ * \(#,##0\);_([$EGP]\ 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'Revenue_Monthly'!$B$2:$B$5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'Revenue_Monthly'!$D$2:$D$5</c:f>
              <c:numCache>
                <c:formatCode>General</c:formatCode>
                <c:ptCount val="4"/>
                <c:pt idx="0">
                  <c:v>1584522.67</c:v>
                </c:pt>
                <c:pt idx="1">
                  <c:v>1475945.54</c:v>
                </c:pt>
                <c:pt idx="2">
                  <c:v>1466170.71</c:v>
                </c:pt>
                <c:pt idx="3">
                  <c:v>602454.47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35-4CBC-B152-BB3CC3B08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15728"/>
        <c:axId val="113419056"/>
      </c:lineChart>
      <c:catAx>
        <c:axId val="11341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19056"/>
        <c:crossesAt val="0"/>
        <c:auto val="1"/>
        <c:lblAlgn val="ctr"/>
        <c:lblOffset val="100"/>
        <c:noMultiLvlLbl val="0"/>
      </c:catAx>
      <c:valAx>
        <c:axId val="113419056"/>
        <c:scaling>
          <c:orientation val="minMax"/>
          <c:max val="2000000"/>
          <c:min val="0"/>
        </c:scaling>
        <c:delete val="1"/>
        <c:axPos val="l"/>
        <c:numFmt formatCode="_([$EGP]\ * #,##0_);_([$EGP]\ * \(#,##0\);_([$EGP]\ * &quot;-&quot;_);_(@_)" sourceLinked="0"/>
        <c:majorTickMark val="none"/>
        <c:minorTickMark val="none"/>
        <c:tickLblPos val="nextTo"/>
        <c:crossAx val="11341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rgbClr val="003F7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3F7F"/>
                </a:solidFill>
                <a:latin typeface="+mn-lt"/>
                <a:ea typeface="+mn-ea"/>
                <a:cs typeface="+mn-cs"/>
              </a:rPr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rgbClr val="003F7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7348432297447276E-2"/>
          <c:y val="0.17607017543859649"/>
          <c:w val="0.9585585460599334"/>
          <c:h val="0.584046967813233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'Revenue_Product'!$D$1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EGP]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'Revenue_Product'!$A$2:$A$9</c:f>
              <c:strCache>
                <c:ptCount val="8"/>
                <c:pt idx="0">
                  <c:v>Sweet Koshary Mix</c:v>
                </c:pt>
                <c:pt idx="1">
                  <c:v>Qishtouza Nutella</c:v>
                </c:pt>
                <c:pt idx="2">
                  <c:v>Rice Pudding Oven</c:v>
                </c:pt>
                <c:pt idx="3">
                  <c:v>Om Ali Cream</c:v>
                </c:pt>
                <c:pt idx="4">
                  <c:v>Qishtouza Lotus</c:v>
                </c:pt>
                <c:pt idx="5">
                  <c:v>Rice Pudding Nuts</c:v>
                </c:pt>
                <c:pt idx="6">
                  <c:v>Super B.Laban</c:v>
                </c:pt>
                <c:pt idx="7">
                  <c:v>Ice Cream Mango</c:v>
                </c:pt>
              </c:strCache>
            </c:strRef>
          </c:cat>
          <c:val>
            <c:numRef>
              <c:f>'Revenue_Product'!$D$2:$D$9</c:f>
              <c:numCache>
                <c:formatCode>General</c:formatCode>
                <c:ptCount val="8"/>
                <c:pt idx="0">
                  <c:v>684024.07</c:v>
                </c:pt>
                <c:pt idx="1">
                  <c:v>680277.18</c:v>
                </c:pt>
                <c:pt idx="2">
                  <c:v>652374.59</c:v>
                </c:pt>
                <c:pt idx="3">
                  <c:v>641740.15</c:v>
                </c:pt>
                <c:pt idx="4">
                  <c:v>636841.66</c:v>
                </c:pt>
                <c:pt idx="5">
                  <c:v>617412.52</c:v>
                </c:pt>
                <c:pt idx="6">
                  <c:v>612096.51</c:v>
                </c:pt>
                <c:pt idx="7">
                  <c:v>604326.71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E-4997-9DD8-3B4FD2DA80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318672"/>
        <c:axId val="149334896"/>
      </c:barChart>
      <c:catAx>
        <c:axId val="14931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34896"/>
        <c:crosses val="autoZero"/>
        <c:auto val="1"/>
        <c:lblAlgn val="ctr"/>
        <c:lblOffset val="100"/>
        <c:noMultiLvlLbl val="0"/>
      </c:catAx>
      <c:valAx>
        <c:axId val="149334896"/>
        <c:scaling>
          <c:orientation val="minMax"/>
          <c:min val="0"/>
        </c:scaling>
        <c:delete val="1"/>
        <c:axPos val="l"/>
        <c:numFmt formatCode="[$EGP]\ #,##0" sourceLinked="0"/>
        <c:majorTickMark val="none"/>
        <c:minorTickMark val="none"/>
        <c:tickLblPos val="nextTo"/>
        <c:crossAx val="14931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rgbClr val="003F7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3F7F"/>
                </a:solidFill>
                <a:latin typeface="+mn-lt"/>
                <a:ea typeface="+mn-ea"/>
                <a:cs typeface="+mn-cs"/>
              </a:rPr>
              <a:t>Revenue by Category</a:t>
            </a:r>
          </a:p>
        </c:rich>
      </c:tx>
      <c:layout>
        <c:manualLayout>
          <c:xMode val="edge"/>
          <c:yMode val="edge"/>
          <c:x val="0.31458896225333421"/>
          <c:y val="3.92031774123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rgbClr val="003F7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504683758070501"/>
          <c:y val="0.19082206627840773"/>
          <c:w val="0.38058716531745318"/>
          <c:h val="0.78304248211333594"/>
        </c:manualLayout>
      </c:layout>
      <c:doughnutChart>
        <c:varyColors val="1"/>
        <c:ser>
          <c:idx val="0"/>
          <c:order val="0"/>
          <c:tx>
            <c:strRef>
              <c:f>'Revenue_Category'!$C$1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rgbClr val="003F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86-4ED9-A911-9DA79C111AC5}"/>
              </c:ext>
            </c:extLst>
          </c:dPt>
          <c:dPt>
            <c:idx val="1"/>
            <c:bubble3D val="0"/>
            <c:spPr>
              <a:solidFill>
                <a:srgbClr val="0072B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86-4ED9-A911-9DA79C111AC5}"/>
              </c:ext>
            </c:extLst>
          </c:dPt>
          <c:dPt>
            <c:idx val="2"/>
            <c:bubble3D val="0"/>
            <c:spPr>
              <a:solidFill>
                <a:srgbClr val="00AE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86-4ED9-A911-9DA79C111AC5}"/>
              </c:ext>
            </c:extLst>
          </c:dPt>
          <c:dPt>
            <c:idx val="3"/>
            <c:bubble3D val="0"/>
            <c:spPr>
              <a:solidFill>
                <a:srgbClr val="85B7E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86-4ED9-A911-9DA79C111AC5}"/>
              </c:ext>
            </c:extLst>
          </c:dPt>
          <c:dLbls>
            <c:dLbl>
              <c:idx val="0"/>
              <c:layout>
                <c:manualLayout>
                  <c:x val="0"/>
                  <c:y val="3.049136020963239E-2"/>
                </c:manualLayout>
              </c:layout>
              <c:tx>
                <c:rich>
                  <a:bodyPr/>
                  <a:lstStyle/>
                  <a:p>
                    <a:fld id="{CC24E0B4-4767-475F-967B-AEE6A4FD5B49}" type="CATEGORYNAME">
                      <a:rPr lang="en-US" sz="1000">
                        <a:solidFill>
                          <a:srgbClr val="B5D4F4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rgbClr val="B5D4F4"/>
                        </a:solidFill>
                      </a:rPr>
                      <a:t>
</a:t>
                    </a:r>
                    <a:fld id="{AF1EB490-08AD-42EA-A4C9-D330AA9BA38C}" type="PERCENTAGE">
                      <a:rPr lang="en-US" baseline="0">
                        <a:solidFill>
                          <a:srgbClr val="B5D4F4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rgbClr val="B5D4F4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F86-4ED9-A911-9DA79C111A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'Revenue_Category'!$A$2:$A$5</c:f>
              <c:strCache>
                <c:ptCount val="4"/>
                <c:pt idx="0">
                  <c:v>Traditional</c:v>
                </c:pt>
                <c:pt idx="1">
                  <c:v>Modern</c:v>
                </c:pt>
                <c:pt idx="2">
                  <c:v>Signature</c:v>
                </c:pt>
                <c:pt idx="3">
                  <c:v>Ice Cream</c:v>
                </c:pt>
              </c:strCache>
            </c:strRef>
          </c:cat>
          <c:val>
            <c:numRef>
              <c:f>'Revenue_Category'!$C$2:$C$5</c:f>
              <c:numCache>
                <c:formatCode>General</c:formatCode>
                <c:ptCount val="4"/>
                <c:pt idx="0">
                  <c:v>1911527.26</c:v>
                </c:pt>
                <c:pt idx="1">
                  <c:v>1317118.8400000001</c:v>
                </c:pt>
                <c:pt idx="2">
                  <c:v>1296120.58</c:v>
                </c:pt>
                <c:pt idx="3">
                  <c:v>604326.71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86-4ED9-A911-9DA79C111A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003F7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3F7F"/>
                </a:solidFill>
                <a:latin typeface="+mn-lt"/>
                <a:ea typeface="+mn-ea"/>
                <a:cs typeface="+mn-cs"/>
              </a:rPr>
              <a:t>Orders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rgbClr val="003F7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Ops_PeakHours!$B$1</c:f>
              <c:strCache>
                <c:ptCount val="1"/>
                <c:pt idx="0">
                  <c:v>total_orders</c:v>
                </c:pt>
              </c:strCache>
            </c:strRef>
          </c:tx>
          <c:spPr>
            <a:ln w="31750" cap="rnd">
              <a:solidFill>
                <a:srgbClr val="0072BC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2BC"/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strRef>
              <c:f>Ops_PeakHours!$A$2:$A$25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Ops_PeakHours!$B$2:$B$25</c:f>
              <c:numCache>
                <c:formatCode>General</c:formatCode>
                <c:ptCount val="24"/>
                <c:pt idx="0">
                  <c:v>309</c:v>
                </c:pt>
                <c:pt idx="1">
                  <c:v>290</c:v>
                </c:pt>
                <c:pt idx="2">
                  <c:v>306</c:v>
                </c:pt>
                <c:pt idx="3">
                  <c:v>299</c:v>
                </c:pt>
                <c:pt idx="4">
                  <c:v>291</c:v>
                </c:pt>
                <c:pt idx="5">
                  <c:v>295</c:v>
                </c:pt>
                <c:pt idx="6">
                  <c:v>293</c:v>
                </c:pt>
                <c:pt idx="7">
                  <c:v>290</c:v>
                </c:pt>
                <c:pt idx="8">
                  <c:v>282</c:v>
                </c:pt>
                <c:pt idx="9">
                  <c:v>287</c:v>
                </c:pt>
                <c:pt idx="10">
                  <c:v>312</c:v>
                </c:pt>
                <c:pt idx="11">
                  <c:v>291</c:v>
                </c:pt>
                <c:pt idx="12">
                  <c:v>288</c:v>
                </c:pt>
                <c:pt idx="13">
                  <c:v>282</c:v>
                </c:pt>
                <c:pt idx="14">
                  <c:v>293</c:v>
                </c:pt>
                <c:pt idx="15">
                  <c:v>297</c:v>
                </c:pt>
                <c:pt idx="16">
                  <c:v>273</c:v>
                </c:pt>
                <c:pt idx="17">
                  <c:v>298</c:v>
                </c:pt>
                <c:pt idx="18">
                  <c:v>293</c:v>
                </c:pt>
                <c:pt idx="19">
                  <c:v>287</c:v>
                </c:pt>
                <c:pt idx="20">
                  <c:v>298</c:v>
                </c:pt>
                <c:pt idx="21">
                  <c:v>280</c:v>
                </c:pt>
                <c:pt idx="22">
                  <c:v>283</c:v>
                </c:pt>
                <c:pt idx="23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3-4A56-8D9D-061201BBC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518128"/>
        <c:axId val="347521872"/>
      </c:lineChart>
      <c:catAx>
        <c:axId val="34751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21872"/>
        <c:crosses val="autoZero"/>
        <c:auto val="1"/>
        <c:lblAlgn val="ctr"/>
        <c:lblOffset val="100"/>
        <c:noMultiLvlLbl val="0"/>
      </c:catAx>
      <c:valAx>
        <c:axId val="347521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751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rgbClr val="003F7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Revenue by Age Group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rgbClr val="003F7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07638456773174"/>
          <c:y val="0.17607017543859649"/>
          <c:w val="0.84183052954429749"/>
          <c:h val="0.584046967813233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'Customer_AgeGroup'!$C$1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'Customer_AgeGroup'!$A$2:$A$7</c:f>
              <c:strCache>
                <c:ptCount val="6"/>
                <c:pt idx="0">
                  <c:v>36-45</c:v>
                </c:pt>
                <c:pt idx="1">
                  <c:v>46-60</c:v>
                </c:pt>
                <c:pt idx="2">
                  <c:v>Above 60</c:v>
                </c:pt>
                <c:pt idx="3">
                  <c:v>26-35</c:v>
                </c:pt>
                <c:pt idx="4">
                  <c:v>18-25</c:v>
                </c:pt>
                <c:pt idx="5">
                  <c:v>Under 18</c:v>
                </c:pt>
              </c:strCache>
            </c:strRef>
          </c:cat>
          <c:val>
            <c:numRef>
              <c:f>'Customer_AgeGroup'!$C$2:$C$7</c:f>
              <c:numCache>
                <c:formatCode>General</c:formatCode>
                <c:ptCount val="6"/>
                <c:pt idx="0">
                  <c:v>1363520.26</c:v>
                </c:pt>
                <c:pt idx="1">
                  <c:v>1067171.8700000001</c:v>
                </c:pt>
                <c:pt idx="2">
                  <c:v>1019486.95</c:v>
                </c:pt>
                <c:pt idx="3">
                  <c:v>705395.54</c:v>
                </c:pt>
                <c:pt idx="4">
                  <c:v>561036.94999999995</c:v>
                </c:pt>
                <c:pt idx="5">
                  <c:v>412481.82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7-4256-AD8F-0D353369E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18672"/>
        <c:axId val="149334896"/>
      </c:barChart>
      <c:catAx>
        <c:axId val="14931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34896"/>
        <c:crosses val="autoZero"/>
        <c:auto val="1"/>
        <c:lblAlgn val="ctr"/>
        <c:lblOffset val="100"/>
        <c:noMultiLvlLbl val="0"/>
      </c:catAx>
      <c:valAx>
        <c:axId val="149334896"/>
        <c:scaling>
          <c:orientation val="minMax"/>
        </c:scaling>
        <c:delete val="0"/>
        <c:axPos val="l"/>
        <c:numFmt formatCode="[$EGP]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47625</xdr:rowOff>
    </xdr:from>
    <xdr:to>
      <xdr:col>20</xdr:col>
      <xdr:colOff>603250</xdr:colOff>
      <xdr:row>5</xdr:row>
      <xdr:rowOff>127000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45772FB-D38D-4DD4-A07E-926A9D775BB7}"/>
            </a:ext>
          </a:extLst>
        </xdr:cNvPr>
        <xdr:cNvSpPr/>
      </xdr:nvSpPr>
      <xdr:spPr>
        <a:xfrm>
          <a:off x="47624" y="47625"/>
          <a:ext cx="12832293" cy="1031875"/>
        </a:xfrm>
        <a:prstGeom prst="roundRect">
          <a:avLst/>
        </a:prstGeom>
        <a:solidFill>
          <a:srgbClr val="003F7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latin typeface="+mn-lt"/>
            </a:rPr>
            <a:t>B.Laban — Sales Performance Dashboard</a:t>
          </a:r>
        </a:p>
        <a:p>
          <a:pPr algn="l"/>
          <a:r>
            <a:rPr lang="en-US" sz="1600" b="1">
              <a:latin typeface="+mn-lt"/>
            </a:rPr>
            <a:t>Jan 2024 – Apr 2024 | 7,000 orders | 8 branches | 5 regions</a:t>
          </a:r>
        </a:p>
      </xdr:txBody>
    </xdr:sp>
    <xdr:clientData/>
  </xdr:twoCellAnchor>
  <xdr:twoCellAnchor>
    <xdr:from>
      <xdr:col>16</xdr:col>
      <xdr:colOff>539750</xdr:colOff>
      <xdr:row>6</xdr:row>
      <xdr:rowOff>12411</xdr:rowOff>
    </xdr:from>
    <xdr:to>
      <xdr:col>20</xdr:col>
      <xdr:colOff>560533</xdr:colOff>
      <xdr:row>11</xdr:row>
      <xdr:rowOff>2886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B650A9C-CE57-4301-95BA-F8975CB49723}"/>
            </a:ext>
          </a:extLst>
        </xdr:cNvPr>
        <xdr:cNvSpPr/>
      </xdr:nvSpPr>
      <xdr:spPr>
        <a:xfrm>
          <a:off x="10361083" y="1155411"/>
          <a:ext cx="2476117" cy="942975"/>
        </a:xfrm>
        <a:prstGeom prst="roundRect">
          <a:avLst/>
        </a:prstGeom>
        <a:solidFill>
          <a:srgbClr val="E6F1FB"/>
        </a:solidFill>
        <a:ln>
          <a:solidFill>
            <a:srgbClr val="185FA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412749</xdr:colOff>
      <xdr:row>5</xdr:row>
      <xdr:rowOff>189732</xdr:rowOff>
    </xdr:from>
    <xdr:to>
      <xdr:col>16</xdr:col>
      <xdr:colOff>421408</xdr:colOff>
      <xdr:row>10</xdr:row>
      <xdr:rowOff>180207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CA192DF-6030-41A8-920D-5ED07FB1EB4D}"/>
            </a:ext>
          </a:extLst>
        </xdr:cNvPr>
        <xdr:cNvSpPr/>
      </xdr:nvSpPr>
      <xdr:spPr>
        <a:xfrm>
          <a:off x="7778749" y="1142232"/>
          <a:ext cx="2463992" cy="942975"/>
        </a:xfrm>
        <a:prstGeom prst="roundRect">
          <a:avLst/>
        </a:prstGeom>
        <a:solidFill>
          <a:srgbClr val="E6F1FB"/>
        </a:solidFill>
        <a:ln>
          <a:solidFill>
            <a:srgbClr val="185FA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246301</xdr:colOff>
      <xdr:row>6</xdr:row>
      <xdr:rowOff>9621</xdr:rowOff>
    </xdr:from>
    <xdr:to>
      <xdr:col>12</xdr:col>
      <xdr:colOff>289597</xdr:colOff>
      <xdr:row>11</xdr:row>
      <xdr:rowOff>96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6EDD299-5F47-472A-AD66-5EEE0FE09EA1}"/>
            </a:ext>
          </a:extLst>
        </xdr:cNvPr>
        <xdr:cNvSpPr/>
      </xdr:nvSpPr>
      <xdr:spPr>
        <a:xfrm>
          <a:off x="5156968" y="1152621"/>
          <a:ext cx="2498629" cy="942975"/>
        </a:xfrm>
        <a:prstGeom prst="roundRect">
          <a:avLst/>
        </a:prstGeom>
        <a:solidFill>
          <a:srgbClr val="E6F1FB"/>
        </a:solidFill>
        <a:ln>
          <a:solidFill>
            <a:srgbClr val="185FA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122190</xdr:colOff>
      <xdr:row>5</xdr:row>
      <xdr:rowOff>178954</xdr:rowOff>
    </xdr:from>
    <xdr:to>
      <xdr:col>8</xdr:col>
      <xdr:colOff>130847</xdr:colOff>
      <xdr:row>10</xdr:row>
      <xdr:rowOff>169429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3E9BB26-08AF-41A5-8C5A-3A62DDB2CE5A}"/>
            </a:ext>
          </a:extLst>
        </xdr:cNvPr>
        <xdr:cNvSpPr/>
      </xdr:nvSpPr>
      <xdr:spPr>
        <a:xfrm>
          <a:off x="2577523" y="1131454"/>
          <a:ext cx="2463991" cy="942975"/>
        </a:xfrm>
        <a:prstGeom prst="roundRect">
          <a:avLst/>
        </a:prstGeom>
        <a:solidFill>
          <a:srgbClr val="E6F1FB"/>
        </a:solidFill>
        <a:ln>
          <a:solidFill>
            <a:srgbClr val="185FA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53879</xdr:colOff>
      <xdr:row>5</xdr:row>
      <xdr:rowOff>166448</xdr:rowOff>
    </xdr:from>
    <xdr:to>
      <xdr:col>4</xdr:col>
      <xdr:colOff>53879</xdr:colOff>
      <xdr:row>10</xdr:row>
      <xdr:rowOff>156923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07B55D5-CD1A-4510-AC0B-5E1C35DC214F}"/>
            </a:ext>
          </a:extLst>
        </xdr:cNvPr>
        <xdr:cNvSpPr/>
      </xdr:nvSpPr>
      <xdr:spPr>
        <a:xfrm>
          <a:off x="53879" y="1118948"/>
          <a:ext cx="2455333" cy="942975"/>
        </a:xfrm>
        <a:prstGeom prst="roundRect">
          <a:avLst/>
        </a:prstGeom>
        <a:solidFill>
          <a:srgbClr val="E6F1FB"/>
        </a:solidFill>
        <a:ln>
          <a:solidFill>
            <a:srgbClr val="185FA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>
            <a:solidFill>
              <a:srgbClr val="185FA5"/>
            </a:solidFill>
          </a:endParaRPr>
        </a:p>
      </xdr:txBody>
    </xdr:sp>
    <xdr:clientData/>
  </xdr:twoCellAnchor>
  <xdr:twoCellAnchor>
    <xdr:from>
      <xdr:col>0</xdr:col>
      <xdr:colOff>19844</xdr:colOff>
      <xdr:row>11</xdr:row>
      <xdr:rowOff>83344</xdr:rowOff>
    </xdr:from>
    <xdr:to>
      <xdr:col>10</xdr:col>
      <xdr:colOff>273844</xdr:colOff>
      <xdr:row>21</xdr:row>
      <xdr:rowOff>56886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9D3CF21-5924-4E69-92C7-BEDDED42D452}"/>
            </a:ext>
          </a:extLst>
        </xdr:cNvPr>
        <xdr:cNvSpPr/>
      </xdr:nvSpPr>
      <xdr:spPr>
        <a:xfrm>
          <a:off x="19844" y="2178844"/>
          <a:ext cx="6326188" cy="1878542"/>
        </a:xfrm>
        <a:prstGeom prst="roundRect">
          <a:avLst/>
        </a:prstGeom>
        <a:solidFill>
          <a:srgbClr val="F5F9FE"/>
        </a:solidFill>
        <a:ln>
          <a:solidFill>
            <a:srgbClr val="B5D4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85991</xdr:colOff>
      <xdr:row>36</xdr:row>
      <xdr:rowOff>116158</xdr:rowOff>
    </xdr:from>
    <xdr:to>
      <xdr:col>8</xdr:col>
      <xdr:colOff>580793</xdr:colOff>
      <xdr:row>52</xdr:row>
      <xdr:rowOff>127775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B1A0F9B-4214-4F26-A8DB-3DB658A8EA32}"/>
            </a:ext>
          </a:extLst>
        </xdr:cNvPr>
        <xdr:cNvSpPr/>
      </xdr:nvSpPr>
      <xdr:spPr>
        <a:xfrm>
          <a:off x="85991" y="6806890"/>
          <a:ext cx="5326997" cy="2985275"/>
        </a:xfrm>
        <a:prstGeom prst="roundRect">
          <a:avLst/>
        </a:prstGeom>
        <a:solidFill>
          <a:srgbClr val="F5F9FE"/>
        </a:solidFill>
        <a:ln>
          <a:solidFill>
            <a:srgbClr val="B5D4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58079</xdr:colOff>
      <xdr:row>36</xdr:row>
      <xdr:rowOff>162622</xdr:rowOff>
    </xdr:from>
    <xdr:to>
      <xdr:col>21</xdr:col>
      <xdr:colOff>23233</xdr:colOff>
      <xdr:row>52</xdr:row>
      <xdr:rowOff>104543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79730E8-573E-40E1-AAD2-34F558AC0B23}"/>
            </a:ext>
          </a:extLst>
        </xdr:cNvPr>
        <xdr:cNvSpPr/>
      </xdr:nvSpPr>
      <xdr:spPr>
        <a:xfrm>
          <a:off x="5494299" y="6853354"/>
          <a:ext cx="7376068" cy="2915579"/>
        </a:xfrm>
        <a:prstGeom prst="roundRect">
          <a:avLst/>
        </a:prstGeom>
        <a:solidFill>
          <a:srgbClr val="F5F9FE"/>
        </a:solidFill>
        <a:ln>
          <a:solidFill>
            <a:srgbClr val="B5D4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19842</xdr:colOff>
      <xdr:row>22</xdr:row>
      <xdr:rowOff>16116</xdr:rowOff>
    </xdr:from>
    <xdr:to>
      <xdr:col>10</xdr:col>
      <xdr:colOff>264584</xdr:colOff>
      <xdr:row>36</xdr:row>
      <xdr:rowOff>47625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3CDE7213-BE97-44A3-8549-1E1EED45284E}"/>
            </a:ext>
          </a:extLst>
        </xdr:cNvPr>
        <xdr:cNvSpPr/>
      </xdr:nvSpPr>
      <xdr:spPr>
        <a:xfrm>
          <a:off x="19842" y="4207116"/>
          <a:ext cx="6316930" cy="2698509"/>
        </a:xfrm>
        <a:prstGeom prst="roundRect">
          <a:avLst/>
        </a:prstGeom>
        <a:solidFill>
          <a:srgbClr val="F5F9FE"/>
        </a:solidFill>
        <a:ln>
          <a:solidFill>
            <a:srgbClr val="B5D4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433916</xdr:colOff>
      <xdr:row>21</xdr:row>
      <xdr:rowOff>179916</xdr:rowOff>
    </xdr:from>
    <xdr:to>
      <xdr:col>21</xdr:col>
      <xdr:colOff>6878</xdr:colOff>
      <xdr:row>36</xdr:row>
      <xdr:rowOff>81311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60174C8C-B5E7-4347-9393-DFD94FAED6F7}"/>
            </a:ext>
          </a:extLst>
        </xdr:cNvPr>
        <xdr:cNvSpPr/>
      </xdr:nvSpPr>
      <xdr:spPr>
        <a:xfrm>
          <a:off x="6474160" y="4082843"/>
          <a:ext cx="6379852" cy="2689200"/>
        </a:xfrm>
        <a:prstGeom prst="roundRect">
          <a:avLst/>
        </a:prstGeom>
        <a:solidFill>
          <a:srgbClr val="F5F9FE"/>
        </a:solidFill>
        <a:ln>
          <a:solidFill>
            <a:srgbClr val="B5D4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17</xdr:col>
      <xdr:colOff>349249</xdr:colOff>
      <xdr:row>0</xdr:row>
      <xdr:rowOff>74083</xdr:rowOff>
    </xdr:from>
    <xdr:to>
      <xdr:col>18</xdr:col>
      <xdr:colOff>486549</xdr:colOff>
      <xdr:row>5</xdr:row>
      <xdr:rowOff>127000</xdr:rowOff>
    </xdr:to>
    <xdr:pic>
      <xdr:nvPicPr>
        <xdr:cNvPr id="22" name="Picture 21" descr="B.Laban - بـ لبن">
          <a:extLst>
            <a:ext uri="{FF2B5EF4-FFF2-40B4-BE49-F238E27FC236}">
              <a16:creationId xmlns:a16="http://schemas.microsoft.com/office/drawing/2014/main" id="{4FD04296-A0AB-4552-BB6E-9278AC73E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4416" y="74083"/>
          <a:ext cx="983967" cy="1005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6</xdr:row>
      <xdr:rowOff>148168</xdr:rowOff>
    </xdr:from>
    <xdr:to>
      <xdr:col>3</xdr:col>
      <xdr:colOff>539750</xdr:colOff>
      <xdr:row>8</xdr:row>
      <xdr:rowOff>74084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EDFEDFA-3A17-4DD1-BF11-8433D1C2A144}"/>
            </a:ext>
          </a:extLst>
        </xdr:cNvPr>
        <xdr:cNvSpPr txBox="1"/>
      </xdr:nvSpPr>
      <xdr:spPr>
        <a:xfrm>
          <a:off x="190500" y="1291168"/>
          <a:ext cx="219075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185FA5"/>
              </a:solidFill>
            </a:rPr>
            <a:t>Total Revenue</a:t>
          </a:r>
        </a:p>
        <a:p>
          <a:endParaRPr lang="en-US" sz="1200"/>
        </a:p>
      </xdr:txBody>
    </xdr:sp>
    <xdr:clientData/>
  </xdr:twoCellAnchor>
  <xdr:twoCellAnchor>
    <xdr:from>
      <xdr:col>0</xdr:col>
      <xdr:colOff>191461</xdr:colOff>
      <xdr:row>8</xdr:row>
      <xdr:rowOff>28864</xdr:rowOff>
    </xdr:from>
    <xdr:to>
      <xdr:col>3</xdr:col>
      <xdr:colOff>540711</xdr:colOff>
      <xdr:row>10</xdr:row>
      <xdr:rowOff>74083</xdr:rowOff>
    </xdr:to>
    <xdr:sp macro="" textlink="KPIs!B2">
      <xdr:nvSpPr>
        <xdr:cNvPr id="25" name="TextBox 24">
          <a:extLst>
            <a:ext uri="{FF2B5EF4-FFF2-40B4-BE49-F238E27FC236}">
              <a16:creationId xmlns:a16="http://schemas.microsoft.com/office/drawing/2014/main" id="{3E995789-9408-4407-AE18-C78CF7A4072D}"/>
            </a:ext>
          </a:extLst>
        </xdr:cNvPr>
        <xdr:cNvSpPr txBox="1"/>
      </xdr:nvSpPr>
      <xdr:spPr>
        <a:xfrm>
          <a:off x="191461" y="1552864"/>
          <a:ext cx="2190750" cy="42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3BC0507D-2CD0-4E44-BA41-3B3DB1C970BC}" type="TxLink">
            <a:rPr lang="en-US" sz="2400" b="1" i="0" u="none" strike="noStrike">
              <a:solidFill>
                <a:srgbClr val="003F7F"/>
              </a:solidFill>
              <a:latin typeface="Calibri"/>
              <a:ea typeface="Calibri"/>
              <a:cs typeface="Calibri"/>
            </a:rPr>
            <a:pPr marL="0" indent="0" algn="ctr"/>
            <a:t>EGP 5,129,093 </a:t>
          </a:fld>
          <a:endParaRPr lang="en-US" sz="2400" b="1" i="0" u="none" strike="noStrike">
            <a:solidFill>
              <a:srgbClr val="003F7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270356</xdr:colOff>
      <xdr:row>6</xdr:row>
      <xdr:rowOff>157787</xdr:rowOff>
    </xdr:from>
    <xdr:to>
      <xdr:col>8</xdr:col>
      <xdr:colOff>5772</xdr:colOff>
      <xdr:row>8</xdr:row>
      <xdr:rowOff>83703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FA1551C-7B5D-48FA-93CB-685D7020E338}"/>
            </a:ext>
          </a:extLst>
        </xdr:cNvPr>
        <xdr:cNvSpPr txBox="1"/>
      </xdr:nvSpPr>
      <xdr:spPr>
        <a:xfrm>
          <a:off x="2725689" y="1300787"/>
          <a:ext cx="219075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185FA5"/>
              </a:solidFill>
            </a:rPr>
            <a:t>Total Orders</a:t>
          </a:r>
        </a:p>
        <a:p>
          <a:endParaRPr lang="en-US" sz="1200"/>
        </a:p>
      </xdr:txBody>
    </xdr:sp>
    <xdr:clientData/>
  </xdr:twoCellAnchor>
  <xdr:twoCellAnchor>
    <xdr:from>
      <xdr:col>4</xdr:col>
      <xdr:colOff>271317</xdr:colOff>
      <xdr:row>8</xdr:row>
      <xdr:rowOff>38483</xdr:rowOff>
    </xdr:from>
    <xdr:to>
      <xdr:col>8</xdr:col>
      <xdr:colOff>6733</xdr:colOff>
      <xdr:row>10</xdr:row>
      <xdr:rowOff>83702</xdr:rowOff>
    </xdr:to>
    <xdr:sp macro="" textlink="KPIs!A2">
      <xdr:nvSpPr>
        <xdr:cNvPr id="29" name="TextBox 28">
          <a:extLst>
            <a:ext uri="{FF2B5EF4-FFF2-40B4-BE49-F238E27FC236}">
              <a16:creationId xmlns:a16="http://schemas.microsoft.com/office/drawing/2014/main" id="{25C40F91-EE94-4021-8882-A02806ED5CDF}"/>
            </a:ext>
          </a:extLst>
        </xdr:cNvPr>
        <xdr:cNvSpPr txBox="1"/>
      </xdr:nvSpPr>
      <xdr:spPr>
        <a:xfrm>
          <a:off x="2726650" y="1562483"/>
          <a:ext cx="2190750" cy="42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D659D26-E516-41C6-9A83-3780A5B23C01}" type="TxLink">
            <a:rPr lang="en-US" sz="2400" b="1" i="0" u="none" strike="noStrike">
              <a:solidFill>
                <a:srgbClr val="003F7F"/>
              </a:solidFill>
              <a:latin typeface="Calibri"/>
              <a:ea typeface="Calibri"/>
              <a:cs typeface="Calibri"/>
            </a:rPr>
            <a:pPr algn="ctr"/>
            <a:t>7000</a:t>
          </a:fld>
          <a:endParaRPr lang="en-US" sz="2800" b="1">
            <a:solidFill>
              <a:srgbClr val="003F7F"/>
            </a:solidFill>
          </a:endParaRPr>
        </a:p>
      </xdr:txBody>
    </xdr:sp>
    <xdr:clientData/>
  </xdr:twoCellAnchor>
  <xdr:twoCellAnchor>
    <xdr:from>
      <xdr:col>8</xdr:col>
      <xdr:colOff>362718</xdr:colOff>
      <xdr:row>6</xdr:row>
      <xdr:rowOff>157788</xdr:rowOff>
    </xdr:from>
    <xdr:to>
      <xdr:col>12</xdr:col>
      <xdr:colOff>98135</xdr:colOff>
      <xdr:row>8</xdr:row>
      <xdr:rowOff>83704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FC9F155-8AD1-45EE-BC04-6B15E04D19F8}"/>
            </a:ext>
          </a:extLst>
        </xdr:cNvPr>
        <xdr:cNvSpPr txBox="1"/>
      </xdr:nvSpPr>
      <xdr:spPr>
        <a:xfrm>
          <a:off x="5273385" y="1300788"/>
          <a:ext cx="219075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185FA5"/>
              </a:solidFill>
            </a:rPr>
            <a:t>Avg</a:t>
          </a:r>
          <a:r>
            <a:rPr lang="en-US" sz="1600" b="1" baseline="0">
              <a:solidFill>
                <a:srgbClr val="185FA5"/>
              </a:solidFill>
            </a:rPr>
            <a:t> Order Value</a:t>
          </a:r>
          <a:endParaRPr lang="en-US" sz="1600" b="1">
            <a:solidFill>
              <a:srgbClr val="185FA5"/>
            </a:solidFill>
          </a:endParaRPr>
        </a:p>
        <a:p>
          <a:endParaRPr lang="en-US" sz="1200"/>
        </a:p>
      </xdr:txBody>
    </xdr:sp>
    <xdr:clientData/>
  </xdr:twoCellAnchor>
  <xdr:twoCellAnchor>
    <xdr:from>
      <xdr:col>8</xdr:col>
      <xdr:colOff>363679</xdr:colOff>
      <xdr:row>8</xdr:row>
      <xdr:rowOff>38484</xdr:rowOff>
    </xdr:from>
    <xdr:to>
      <xdr:col>12</xdr:col>
      <xdr:colOff>99096</xdr:colOff>
      <xdr:row>10</xdr:row>
      <xdr:rowOff>83703</xdr:rowOff>
    </xdr:to>
    <xdr:sp macro="" textlink="KPIs!C2">
      <xdr:nvSpPr>
        <xdr:cNvPr id="31" name="TextBox 30">
          <a:extLst>
            <a:ext uri="{FF2B5EF4-FFF2-40B4-BE49-F238E27FC236}">
              <a16:creationId xmlns:a16="http://schemas.microsoft.com/office/drawing/2014/main" id="{54800399-8683-41F9-B91D-D1D37653754A}"/>
            </a:ext>
          </a:extLst>
        </xdr:cNvPr>
        <xdr:cNvSpPr txBox="1"/>
      </xdr:nvSpPr>
      <xdr:spPr>
        <a:xfrm>
          <a:off x="5274346" y="1562484"/>
          <a:ext cx="2190750" cy="42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13BB685-F826-4D5D-8F29-0951BA125E10}" type="TxLink">
            <a:rPr lang="en-US" sz="2400" b="1" i="0" u="none" strike="noStrike">
              <a:solidFill>
                <a:srgbClr val="003F7F"/>
              </a:solidFill>
              <a:latin typeface="Calibri"/>
              <a:ea typeface="Calibri"/>
              <a:cs typeface="Calibri"/>
            </a:rPr>
            <a:pPr marL="0" indent="0" algn="ctr"/>
            <a:t>EGP 733</a:t>
          </a:fld>
          <a:endParaRPr lang="en-US" sz="2400" b="1" i="0" u="none" strike="noStrike">
            <a:solidFill>
              <a:srgbClr val="003F7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571499</xdr:colOff>
      <xdr:row>6</xdr:row>
      <xdr:rowOff>147399</xdr:rowOff>
    </xdr:from>
    <xdr:to>
      <xdr:col>16</xdr:col>
      <xdr:colOff>306916</xdr:colOff>
      <xdr:row>8</xdr:row>
      <xdr:rowOff>73315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35ADEC1-AE23-4A99-AC4D-8B3057044619}"/>
            </a:ext>
          </a:extLst>
        </xdr:cNvPr>
        <xdr:cNvSpPr txBox="1"/>
      </xdr:nvSpPr>
      <xdr:spPr>
        <a:xfrm>
          <a:off x="7937499" y="1290399"/>
          <a:ext cx="219075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185FA5"/>
              </a:solidFill>
            </a:rPr>
            <a:t>Avg Delivery in mins</a:t>
          </a:r>
        </a:p>
        <a:p>
          <a:endParaRPr lang="en-US" sz="1200"/>
        </a:p>
      </xdr:txBody>
    </xdr:sp>
    <xdr:clientData/>
  </xdr:twoCellAnchor>
  <xdr:twoCellAnchor>
    <xdr:from>
      <xdr:col>12</xdr:col>
      <xdr:colOff>572460</xdr:colOff>
      <xdr:row>8</xdr:row>
      <xdr:rowOff>28095</xdr:rowOff>
    </xdr:from>
    <xdr:to>
      <xdr:col>16</xdr:col>
      <xdr:colOff>307877</xdr:colOff>
      <xdr:row>10</xdr:row>
      <xdr:rowOff>73314</xdr:rowOff>
    </xdr:to>
    <xdr:sp macro="" textlink="KPIs!E2">
      <xdr:nvSpPr>
        <xdr:cNvPr id="33" name="TextBox 32">
          <a:extLst>
            <a:ext uri="{FF2B5EF4-FFF2-40B4-BE49-F238E27FC236}">
              <a16:creationId xmlns:a16="http://schemas.microsoft.com/office/drawing/2014/main" id="{11B60743-9415-4A4E-BBE2-BEE12C838DCE}"/>
            </a:ext>
          </a:extLst>
        </xdr:cNvPr>
        <xdr:cNvSpPr txBox="1"/>
      </xdr:nvSpPr>
      <xdr:spPr>
        <a:xfrm>
          <a:off x="7938460" y="1552095"/>
          <a:ext cx="2190750" cy="42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743F48B-EF2C-450F-900C-803EDD69DA2A}" type="TxLink">
            <a:rPr lang="en-US" sz="2400" b="1" i="0" u="none" strike="noStrike">
              <a:solidFill>
                <a:srgbClr val="003F7F"/>
              </a:solidFill>
              <a:latin typeface="Calibri"/>
              <a:ea typeface="Calibri"/>
              <a:cs typeface="Calibri"/>
            </a:rPr>
            <a:pPr marL="0" indent="0" algn="ctr"/>
            <a:t>64</a:t>
          </a:fld>
          <a:endParaRPr lang="en-US" sz="2400" b="1" i="0" u="none" strike="noStrike">
            <a:solidFill>
              <a:srgbClr val="003F7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95249</xdr:colOff>
      <xdr:row>6</xdr:row>
      <xdr:rowOff>139411</xdr:rowOff>
    </xdr:from>
    <xdr:to>
      <xdr:col>20</xdr:col>
      <xdr:colOff>444499</xdr:colOff>
      <xdr:row>8</xdr:row>
      <xdr:rowOff>65327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07AF26E-2D45-4641-A3F7-2DC297F01D9C}"/>
            </a:ext>
          </a:extLst>
        </xdr:cNvPr>
        <xdr:cNvSpPr txBox="1"/>
      </xdr:nvSpPr>
      <xdr:spPr>
        <a:xfrm>
          <a:off x="10530416" y="1282411"/>
          <a:ext cx="2190750" cy="306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185FA5"/>
              </a:solidFill>
            </a:rPr>
            <a:t>Avg Ratings</a:t>
          </a:r>
        </a:p>
        <a:p>
          <a:endParaRPr lang="en-US" sz="1200"/>
        </a:p>
      </xdr:txBody>
    </xdr:sp>
    <xdr:clientData/>
  </xdr:twoCellAnchor>
  <xdr:twoCellAnchor>
    <xdr:from>
      <xdr:col>17</xdr:col>
      <xdr:colOff>96210</xdr:colOff>
      <xdr:row>8</xdr:row>
      <xdr:rowOff>20107</xdr:rowOff>
    </xdr:from>
    <xdr:to>
      <xdr:col>20</xdr:col>
      <xdr:colOff>445460</xdr:colOff>
      <xdr:row>10</xdr:row>
      <xdr:rowOff>65326</xdr:rowOff>
    </xdr:to>
    <xdr:sp macro="" textlink="KPIs!D2">
      <xdr:nvSpPr>
        <xdr:cNvPr id="35" name="TextBox 34">
          <a:extLst>
            <a:ext uri="{FF2B5EF4-FFF2-40B4-BE49-F238E27FC236}">
              <a16:creationId xmlns:a16="http://schemas.microsoft.com/office/drawing/2014/main" id="{F0395CB1-652D-4EF8-B97D-FE185EEA25CC}"/>
            </a:ext>
          </a:extLst>
        </xdr:cNvPr>
        <xdr:cNvSpPr txBox="1"/>
      </xdr:nvSpPr>
      <xdr:spPr>
        <a:xfrm>
          <a:off x="10531377" y="1544107"/>
          <a:ext cx="2190750" cy="426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1078074-836F-492B-8D30-BEEB6BB52225}" type="TxLink">
            <a:rPr lang="en-US" sz="2400" b="1" i="0" u="none" strike="noStrike">
              <a:solidFill>
                <a:srgbClr val="003F7F"/>
              </a:solidFill>
              <a:latin typeface="Calibri"/>
              <a:ea typeface="Calibri"/>
              <a:cs typeface="Calibri"/>
            </a:rPr>
            <a:pPr marL="0" indent="0" algn="ctr"/>
            <a:t>2.98</a:t>
          </a:fld>
          <a:endParaRPr lang="en-US" sz="2400" b="1" i="0" u="none" strike="noStrike">
            <a:solidFill>
              <a:srgbClr val="003F7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251353</xdr:colOff>
      <xdr:row>11</xdr:row>
      <xdr:rowOff>107156</xdr:rowOff>
    </xdr:from>
    <xdr:to>
      <xdr:col>10</xdr:col>
      <xdr:colOff>7937</xdr:colOff>
      <xdr:row>21</xdr:row>
      <xdr:rowOff>126999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9692E2A-FA04-4F30-B5B7-75CA1D300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416718</xdr:colOff>
      <xdr:row>11</xdr:row>
      <xdr:rowOff>71437</xdr:rowOff>
    </xdr:from>
    <xdr:to>
      <xdr:col>21</xdr:col>
      <xdr:colOff>11906</xdr:colOff>
      <xdr:row>21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CB1778D-646D-4B8C-B144-6ABDFE903BB8}"/>
            </a:ext>
          </a:extLst>
        </xdr:cNvPr>
        <xdr:cNvSpPr/>
      </xdr:nvSpPr>
      <xdr:spPr>
        <a:xfrm>
          <a:off x="6488906" y="2166937"/>
          <a:ext cx="6262688" cy="1928813"/>
        </a:xfrm>
        <a:prstGeom prst="roundRect">
          <a:avLst/>
        </a:prstGeom>
        <a:noFill/>
        <a:ln>
          <a:solidFill>
            <a:srgbClr val="B5D4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273844</xdr:colOff>
      <xdr:row>22</xdr:row>
      <xdr:rowOff>35718</xdr:rowOff>
    </xdr:from>
    <xdr:to>
      <xdr:col>10</xdr:col>
      <xdr:colOff>0</xdr:colOff>
      <xdr:row>36</xdr:row>
      <xdr:rowOff>71437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945770B-573C-4720-A93D-4A618F6E9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85989</xdr:colOff>
      <xdr:row>36</xdr:row>
      <xdr:rowOff>116158</xdr:rowOff>
    </xdr:from>
    <xdr:to>
      <xdr:col>10</xdr:col>
      <xdr:colOff>220701</xdr:colOff>
      <xdr:row>52</xdr:row>
      <xdr:rowOff>58080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1C554E9-7FEB-48C8-9060-D094C14E5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58079</xdr:colOff>
      <xdr:row>36</xdr:row>
      <xdr:rowOff>162622</xdr:rowOff>
    </xdr:from>
    <xdr:to>
      <xdr:col>21</xdr:col>
      <xdr:colOff>69695</xdr:colOff>
      <xdr:row>52</xdr:row>
      <xdr:rowOff>23232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9BC23C7E-9573-4D15-B85C-CEBA761D3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433915</xdr:colOff>
      <xdr:row>21</xdr:row>
      <xdr:rowOff>179915</xdr:rowOff>
    </xdr:from>
    <xdr:to>
      <xdr:col>20</xdr:col>
      <xdr:colOff>116158</xdr:colOff>
      <xdr:row>37</xdr:row>
      <xdr:rowOff>116158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2ADF84F5-2024-4620-B069-B3E4A2BDC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BB6FCA57-BDF2-4D68-B5C3-89B6676624CD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5" dataBound="0" tableColumnId="5"/>
      <queryTableField id="2" name="total_orders" tableColumnId="2"/>
      <queryTableField id="3" name="total_revenue" tableColumnId="3"/>
      <queryTableField id="4" name="avg_order_valu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ADD0761D-B740-4DF5-B84F-1CF8CD397962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total_orders" tableColumnId="2"/>
      <queryTableField id="3" name="total_revenue" tableColumnId="3"/>
      <queryTableField id="4" name="avg_order_valu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DD10254-F878-430F-9435-4174DDDEE875}" autoFormatId="16" applyNumberFormats="0" applyBorderFormats="0" applyFontFormats="0" applyPatternFormats="0" applyAlignmentFormats="0" applyWidthHeightFormats="0">
  <queryTableRefresh nextId="6">
    <queryTableFields count="5">
      <queryTableField id="1" name="Membership_Status" tableColumnId="1"/>
      <queryTableField id="2" name="total_orders" tableColumnId="2"/>
      <queryTableField id="3" name="unique_customers" tableColumnId="3"/>
      <queryTableField id="4" name="total_revenue" tableColumnId="4"/>
      <queryTableField id="5" name="avg_order_valu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3CC4564-B1D8-45FA-9899-1DDBFCFCA365}" autoFormatId="16" applyNumberFormats="0" applyBorderFormats="0" applyFontFormats="0" applyPatternFormats="0" applyAlignmentFormats="0" applyWidthHeightFormats="0">
  <queryTableRefresh nextId="5">
    <queryTableFields count="4">
      <queryTableField id="1" name="age_group" tableColumnId="1"/>
      <queryTableField id="2" name="total_orders" tableColumnId="2"/>
      <queryTableField id="3" name="total_revenue" tableColumnId="3"/>
      <queryTableField id="4" name="avg_order_valu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7F74A86-7C1A-4C4D-B7AE-5EA281EDAFD9}" autoFormatId="16" applyNumberFormats="0" applyBorderFormats="0" applyFontFormats="0" applyPatternFormats="0" applyAlignmentFormats="0" applyWidthHeightFormats="0">
  <queryTableRefresh nextId="5">
    <queryTableFields count="4">
      <queryTableField id="1" name="Hour_of_Day" tableColumnId="1"/>
      <queryTableField id="2" name="total_orders" tableColumnId="2"/>
      <queryTableField id="3" name="total_revenue" tableColumnId="3"/>
      <queryTableField id="4" name="avg_order_valu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F123EAE-6C6B-4752-9F98-57AA20FBE1AF}" autoFormatId="16" applyNumberFormats="0" applyBorderFormats="0" applyFontFormats="0" applyPatternFormats="0" applyAlignmentFormats="0" applyWidthHeightFormats="0">
  <queryTableRefresh nextId="6">
    <queryTableFields count="5">
      <queryTableField id="1" name="Branch" tableColumnId="1"/>
      <queryTableField id="2" name="avg_delivery_time" tableColumnId="2"/>
      <queryTableField id="3" name="avg_rating" tableColumnId="3"/>
      <queryTableField id="4" name="total_orders" tableColumnId="4"/>
      <queryTableField id="5" name="avg_distanc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FEE4DD7-70DA-4686-AA76-70CD6A7F7A5D}" autoFormatId="16" applyNumberFormats="0" applyBorderFormats="0" applyFontFormats="0" applyPatternFormats="0" applyAlignmentFormats="0" applyWidthHeightFormats="0">
  <queryTableRefresh nextId="6">
    <queryTableFields count="5">
      <queryTableField id="1" name="day_type" tableColumnId="1"/>
      <queryTableField id="2" name="total_orders" tableColumnId="2"/>
      <queryTableField id="3" name="total_revenue" tableColumnId="3"/>
      <queryTableField id="4" name="avg_order_value" tableColumnId="4"/>
      <queryTableField id="5" name="avg_delivery_tim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B0936E8-F882-45BB-A829-025B682FCB1C}" autoFormatId="16" applyNumberFormats="0" applyBorderFormats="0" applyFontFormats="0" applyPatternFormats="0" applyAlignmentFormats="0" applyWidthHeightFormats="0">
  <queryTableRefresh nextId="5">
    <queryTableFields count="4">
      <queryTableField id="1" name="temp_band" tableColumnId="1"/>
      <queryTableField id="2" name="total_orders" tableColumnId="2"/>
      <queryTableField id="3" name="total_revenue" tableColumnId="3"/>
      <queryTableField id="4" name="avg_order_valu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5665BCA-3E74-45B2-A525-7740542F464D}" autoFormatId="16" applyNumberFormats="0" applyBorderFormats="0" applyFontFormats="0" applyPatternFormats="0" applyAlignmentFormats="0" applyWidthHeightFormats="0">
  <queryTableRefresh nextId="5">
    <queryTableFields count="4">
      <queryTableField id="1" name="humidity_band" tableColumnId="1"/>
      <queryTableField id="2" name="total_orders" tableColumnId="2"/>
      <queryTableField id="3" name="total_revenue" tableColumnId="3"/>
      <queryTableField id="4" name="avg_order_value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7FFC1BEC-31AC-4022-AE3C-8BE6E5540923}" autoFormatId="16" applyNumberFormats="0" applyBorderFormats="0" applyFontFormats="0" applyPatternFormats="0" applyAlignmentFormats="0" applyWidthHeightFormats="0">
  <queryTableRefresh nextId="7">
    <queryTableFields count="6">
      <queryTableField id="1" name="Product_Name" tableColumnId="1"/>
      <queryTableField id="2" name="Category" tableColumnId="2"/>
      <queryTableField id="3" name="total_orders" tableColumnId="3"/>
      <queryTableField id="4" name="total_revenue" tableColumnId="4"/>
      <queryTableField id="5" name="avg_order_value" tableColumnId="5"/>
      <queryTableField id="6" name="avg_qty_per_order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4B890D-2B95-4298-ABFA-6B1387673C76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Branch" tableColumnId="1"/>
      <queryTableField id="2" name="total_orders" tableColumnId="2"/>
      <queryTableField id="3" name="total_revenue" tableColumnId="3"/>
      <queryTableField id="4" name="avg_order_value" tableColumnId="4"/>
      <queryTableField id="5" name="revenue_pct" tableColumnId="5"/>
      <queryTableField id="6" dataBound="0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93F09C6-BF73-4F3C-9B8A-D2E07BE9C84F}" autoFormatId="16" applyNumberFormats="0" applyBorderFormats="0" applyFontFormats="0" applyPatternFormats="0" applyAlignmentFormats="0" applyWidthHeightFormats="0">
  <queryTableRefresh nextId="8">
    <queryTableFields count="7">
      <queryTableField id="1" name="total_orders" tableColumnId="1"/>
      <queryTableField id="2" name="total_revenue" tableColumnId="2"/>
      <queryTableField id="3" name="avg_order_value" tableColumnId="3"/>
      <queryTableField id="4" name="avg_rating" tableColumnId="4"/>
      <queryTableField id="5" name="avg_delivery_time" tableColumnId="5"/>
      <queryTableField id="6" name="avg_discount_pct" tableColumnId="6"/>
      <queryTableField id="7" name="revenue_per_custom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B2C729-4A3F-4968-94F8-D80CE2A9296C}" name="Revenue_Monthly" displayName="Revenue_Monthly" ref="A1:E5" tableType="queryTable" totalsRowShown="0">
  <autoFilter ref="A1:E5" xr:uid="{7EB2C729-4A3F-4968-94F8-D80CE2A9296C}"/>
  <tableColumns count="5">
    <tableColumn id="1" xr3:uid="{B450A2E3-B234-4A23-B255-39101B855061}" uniqueName="1" name="month" queryTableFieldId="1" dataDxfId="13"/>
    <tableColumn id="5" xr3:uid="{877C8DBA-9B2C-4046-B74B-80504DF59EF7}" uniqueName="5" name="Month Label" queryTableFieldId="5" dataDxfId="3"/>
    <tableColumn id="2" xr3:uid="{7F0D239C-CD94-435F-AB22-D353C89968A8}" uniqueName="2" name="total_orders" queryTableFieldId="2"/>
    <tableColumn id="3" xr3:uid="{ED040DA0-103B-469F-B7AE-AE64E8CE5291}" uniqueName="3" name="total_revenue" queryTableFieldId="3"/>
    <tableColumn id="4" xr3:uid="{CD6E95E6-F849-43C8-91CE-AC779F110BF0}" uniqueName="4" name="avg_order_valu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10C3F5-3F93-43C4-AAB4-09869CD98E22}" name="Revenue_Category" displayName="Revenue_Category" ref="A1:D5" tableType="queryTable" totalsRowShown="0">
  <autoFilter ref="A1:D5" xr:uid="{7510C3F5-3F93-43C4-AAB4-09869CD98E22}"/>
  <tableColumns count="4">
    <tableColumn id="1" xr3:uid="{9A096288-5C76-4134-AB0E-68ABD420647A}" uniqueName="1" name="Category" queryTableFieldId="1" dataDxfId="12"/>
    <tableColumn id="2" xr3:uid="{757EB14B-5CD2-4543-910D-D64AEAD25B16}" uniqueName="2" name="total_orders" queryTableFieldId="2"/>
    <tableColumn id="3" xr3:uid="{FC7B57C2-D38A-4C28-85E5-AA2D1ECAA0D4}" uniqueName="3" name="total_revenue" queryTableFieldId="3"/>
    <tableColumn id="4" xr3:uid="{FEB1152B-7C14-498C-86E7-B7C894FEC511}" uniqueName="4" name="avg_order_valu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96A152-4102-40CD-89F4-C23B1A17AD02}" name="Customer_Membership" displayName="Customer_Membership" ref="A1:E5" tableType="queryTable" totalsRowShown="0">
  <autoFilter ref="A1:E5" xr:uid="{C496A152-4102-40CD-89F4-C23B1A17AD02}"/>
  <tableColumns count="5">
    <tableColumn id="1" xr3:uid="{2A37E16A-856A-4170-A183-651FCC28EDE1}" uniqueName="1" name="Membership_Status" queryTableFieldId="1" dataDxfId="11"/>
    <tableColumn id="2" xr3:uid="{0C40D3BD-54F0-4EF8-81DB-E98EE2F79A0D}" uniqueName="2" name="total_orders" queryTableFieldId="2"/>
    <tableColumn id="3" xr3:uid="{BA592A82-0CE4-442A-9157-9A083F1A2C6E}" uniqueName="3" name="unique_customers" queryTableFieldId="3"/>
    <tableColumn id="4" xr3:uid="{C808933B-90A6-4D08-B65E-4D9301B6312A}" uniqueName="4" name="total_revenue" queryTableFieldId="4"/>
    <tableColumn id="5" xr3:uid="{4CA9745A-AEF1-430D-BAB4-BC86A6900269}" uniqueName="5" name="avg_order_valu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178C9D-1925-431B-89B0-EB72D022E40E}" name="Customer_AgeGroup" displayName="Customer_AgeGroup" ref="A1:D7" tableType="queryTable" totalsRowShown="0">
  <autoFilter ref="A1:D7" xr:uid="{F9178C9D-1925-431B-89B0-EB72D022E40E}"/>
  <tableColumns count="4">
    <tableColumn id="1" xr3:uid="{BBBE48B4-834D-40B4-AB64-703A601C9A47}" uniqueName="1" name="age_group" queryTableFieldId="1" dataDxfId="10"/>
    <tableColumn id="2" xr3:uid="{8336A4CE-127D-4982-A743-150736D79F8E}" uniqueName="2" name="total_orders" queryTableFieldId="2"/>
    <tableColumn id="3" xr3:uid="{F45D674B-183C-49F3-AE3B-1E4D8A39648A}" uniqueName="3" name="total_revenue" queryTableFieldId="3"/>
    <tableColumn id="4" xr3:uid="{6097D46B-CF88-434E-A291-28D62EEEDB29}" uniqueName="4" name="avg_order_valu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8621D3-E554-4971-822F-2B4525372881}" name="Ops_PeakHours" displayName="Ops_PeakHours" ref="A1:D25" tableType="queryTable" totalsRowShown="0">
  <autoFilter ref="A1:D25" xr:uid="{A98621D3-E554-4971-822F-2B4525372881}"/>
  <sortState xmlns:xlrd2="http://schemas.microsoft.com/office/spreadsheetml/2017/richdata2" ref="A2:D25">
    <sortCondition ref="A2:A25"/>
  </sortState>
  <tableColumns count="4">
    <tableColumn id="1" xr3:uid="{2778BB79-0E47-4CAB-BD02-17271718A0D4}" uniqueName="1" name="Hour_of_Day" queryTableFieldId="1" dataDxfId="0"/>
    <tableColumn id="2" xr3:uid="{3852DCED-EA89-43B5-A127-9911E6C22E86}" uniqueName="2" name="total_orders" queryTableFieldId="2"/>
    <tableColumn id="3" xr3:uid="{5DC1FBB8-19C7-4ECF-980E-D57606D16914}" uniqueName="3" name="total_revenue" queryTableFieldId="3"/>
    <tableColumn id="4" xr3:uid="{5A19B1FA-AD6C-499C-B090-F3F872A5EF85}" uniqueName="4" name="avg_order_valu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E507AB-E7F3-4E28-A49A-6BAC9B890B07}" name="Ops_Delivery" displayName="Ops_Delivery" ref="A1:E9" tableType="queryTable" totalsRowShown="0">
  <autoFilter ref="A1:E9" xr:uid="{0BE507AB-E7F3-4E28-A49A-6BAC9B890B07}"/>
  <tableColumns count="5">
    <tableColumn id="1" xr3:uid="{04D48669-B3D6-44C1-A669-7B6CE3983115}" uniqueName="1" name="Branch" queryTableFieldId="1" dataDxfId="9"/>
    <tableColumn id="2" xr3:uid="{6CD1861D-DC82-4439-AA13-8938B1E718A6}" uniqueName="2" name="avg_delivery_time" queryTableFieldId="2"/>
    <tableColumn id="3" xr3:uid="{4C873D6E-1E00-47A9-852E-655DBE1796BD}" uniqueName="3" name="avg_rating" queryTableFieldId="3"/>
    <tableColumn id="4" xr3:uid="{8D45FE13-9D62-4825-A251-FE6DBE99F5EA}" uniqueName="4" name="total_orders" queryTableFieldId="4"/>
    <tableColumn id="5" xr3:uid="{92D36675-54DA-43DA-BDCA-11D32F917ADA}" uniqueName="5" name="avg_distance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A57C09-49AF-4A8F-B45E-677F184DDE94}" name="External_Holiday" displayName="External_Holiday" ref="A1:E3" tableType="queryTable" totalsRowShown="0">
  <autoFilter ref="A1:E3" xr:uid="{67A57C09-49AF-4A8F-B45E-677F184DDE94}"/>
  <tableColumns count="5">
    <tableColumn id="1" xr3:uid="{16F1E79F-CA9F-444B-AF8F-5ADA27438CB1}" uniqueName="1" name="day_type" queryTableFieldId="1" dataDxfId="8"/>
    <tableColumn id="2" xr3:uid="{B11B2A92-F1C0-4344-8CE5-269BEB2FD30D}" uniqueName="2" name="total_orders" queryTableFieldId="2"/>
    <tableColumn id="3" xr3:uid="{EACDA1FD-1603-407C-814A-4E95830C9A2B}" uniqueName="3" name="total_revenue" queryTableFieldId="3"/>
    <tableColumn id="4" xr3:uid="{BD6FE87E-278B-4C8F-AFA6-2B557B59CEE9}" uniqueName="4" name="avg_order_value" queryTableFieldId="4"/>
    <tableColumn id="5" xr3:uid="{D218D79A-1C47-4703-998C-43315730C210}" uniqueName="5" name="avg_delivery_time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E9577B-A65D-41E8-B8AE-4141EF2610B5}" name="External_Temperature" displayName="External_Temperature" ref="A1:D4" tableType="queryTable" totalsRowShown="0">
  <autoFilter ref="A1:D4" xr:uid="{86E9577B-A65D-41E8-B8AE-4141EF2610B5}"/>
  <tableColumns count="4">
    <tableColumn id="1" xr3:uid="{6D9E3D0E-296B-4708-A833-9B36B8594CC5}" uniqueName="1" name="temp_band" queryTableFieldId="1" dataDxfId="7"/>
    <tableColumn id="2" xr3:uid="{D0BD0D49-2B8E-4139-91A5-7BAD2C3F91EB}" uniqueName="2" name="total_orders" queryTableFieldId="2"/>
    <tableColumn id="3" xr3:uid="{27FC59B3-4F36-4B59-9A6D-F45E446A1431}" uniqueName="3" name="total_revenue" queryTableFieldId="3"/>
    <tableColumn id="4" xr3:uid="{DF078085-85E7-4361-A823-BEB12DCE4DCF}" uniqueName="4" name="avg_order_value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345D33-B479-495C-91E9-2B2F70DC3E38}" name="External_Humidity" displayName="External_Humidity" ref="A1:D4" tableType="queryTable" totalsRowShown="0">
  <autoFilter ref="A1:D4" xr:uid="{DB345D33-B479-495C-91E9-2B2F70DC3E38}"/>
  <tableColumns count="4">
    <tableColumn id="1" xr3:uid="{FB4DC52F-D6F5-4771-8BD8-C7F8144F0ACF}" uniqueName="1" name="humidity_band" queryTableFieldId="1" dataDxfId="6"/>
    <tableColumn id="2" xr3:uid="{DFBB8EF5-3908-4C2D-ABED-F79BB2C0B28A}" uniqueName="2" name="total_orders" queryTableFieldId="2"/>
    <tableColumn id="3" xr3:uid="{0D62B493-B5D2-4A2B-AA6F-C92786E4EC14}" uniqueName="3" name="total_revenue" queryTableFieldId="3"/>
    <tableColumn id="4" xr3:uid="{10E8807C-8378-4548-A4C0-8AA04394CCB7}" uniqueName="4" name="avg_order_value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6871FD-FA78-40E2-AF4C-9A76758B625E}" name="Revenue_Product" displayName="Revenue_Product" ref="A1:F9" tableType="queryTable" totalsRowShown="0">
  <autoFilter ref="A1:F9" xr:uid="{616871FD-FA78-40E2-AF4C-9A76758B625E}"/>
  <tableColumns count="6">
    <tableColumn id="1" xr3:uid="{EEBEB81C-3DF8-4022-95EF-4F33E356662E}" uniqueName="1" name="Product_Name" queryTableFieldId="1" dataDxfId="15"/>
    <tableColumn id="2" xr3:uid="{8CA4F463-FB40-4F63-9C64-7933CF1275CC}" uniqueName="2" name="Category" queryTableFieldId="2" dataDxfId="14"/>
    <tableColumn id="3" xr3:uid="{121A0705-8670-4E17-84C1-E797AEBBA18E}" uniqueName="3" name="total_orders" queryTableFieldId="3"/>
    <tableColumn id="4" xr3:uid="{85EDA23D-EE42-4E5F-8197-8D68A8484E8A}" uniqueName="4" name="total_revenue" queryTableFieldId="4"/>
    <tableColumn id="5" xr3:uid="{91D0F0A8-572A-412D-8D48-6620F70B8250}" uniqueName="5" name="avg_order_value" queryTableFieldId="5"/>
    <tableColumn id="6" xr3:uid="{DA366C8A-1677-4541-88F8-1F285376693C}" uniqueName="6" name="avg_qty_per_order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48DB1-AF2E-45C9-B2F8-4C3F84BF949C}" name="Revenue_Branch" displayName="Revenue_Branch" ref="A1:F9" tableType="queryTable" totalsRowShown="0">
  <autoFilter ref="A1:F9" xr:uid="{66848DB1-AF2E-45C9-B2F8-4C3F84BF949C}"/>
  <tableColumns count="6">
    <tableColumn id="1" xr3:uid="{80AE8647-FDC4-497E-AF30-886B05F0FB46}" uniqueName="1" name="Branch" queryTableFieldId="1" dataDxfId="2"/>
    <tableColumn id="2" xr3:uid="{CAFC2208-71FF-4BEB-8388-05417CBCA2AC}" uniqueName="2" name="total_orders" queryTableFieldId="2"/>
    <tableColumn id="3" xr3:uid="{47218820-753C-4DBC-8ECC-0698CB180635}" uniqueName="3" name="total_revenue" queryTableFieldId="3"/>
    <tableColumn id="4" xr3:uid="{EFFC051D-A869-48D3-8E6A-40CD9E1FB7D3}" uniqueName="4" name="avg_order_value" queryTableFieldId="4"/>
    <tableColumn id="5" xr3:uid="{4872A63B-1E46-4AE6-A002-C6724A5EDCA0}" uniqueName="5" name="revenue_pct" queryTableFieldId="5"/>
    <tableColumn id="6" xr3:uid="{CDB18E97-76C4-43D9-9A88-E8AE97F9F1A3}" uniqueName="6" name="Rank" queryTableFieldId="6" dataDxfId="1">
      <calculatedColumnFormula>RANK(C2, $C$2:$C$9, 0)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C817BF-3A63-47FB-B6BA-45A57D5DC7FD}" name="KPIs" displayName="KPIs" ref="A1:G2" tableType="queryTable" totalsRowShown="0">
  <autoFilter ref="A1:G2" xr:uid="{9BC817BF-3A63-47FB-B6BA-45A57D5DC7FD}"/>
  <tableColumns count="7">
    <tableColumn id="1" xr3:uid="{04F93F9C-2D6E-4935-ADFE-F20FB3E24C14}" uniqueName="1" name="total_orders" queryTableFieldId="1"/>
    <tableColumn id="2" xr3:uid="{92205C6B-6572-4ECA-B808-C736432C0195}" uniqueName="2" name="total_revenue" queryTableFieldId="2" dataDxfId="5" dataCellStyle="Comma"/>
    <tableColumn id="3" xr3:uid="{F444B1E0-05E6-42C9-A287-257E596B982A}" uniqueName="3" name="avg_order_value" queryTableFieldId="3" dataDxfId="4"/>
    <tableColumn id="4" xr3:uid="{6F81E074-DE9E-4855-BCFA-7BC1A40E28A4}" uniqueName="4" name="avg_rating" queryTableFieldId="4"/>
    <tableColumn id="5" xr3:uid="{B1765217-4F88-4D22-8684-F3FE168B4625}" uniqueName="5" name="avg_delivery_time" queryTableFieldId="5"/>
    <tableColumn id="6" xr3:uid="{2CBDBD29-EADE-42B5-B526-E9CF91438CE9}" uniqueName="6" name="avg_discount_pct" queryTableFieldId="6"/>
    <tableColumn id="7" xr3:uid="{56E5544F-3D4B-4185-B401-10A71348EFD8}" uniqueName="7" name="revenue_per_custom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0BA5-DC1E-4234-B247-DE96C971EE75}">
  <dimension ref="A1:E5"/>
  <sheetViews>
    <sheetView workbookViewId="0">
      <selection sqref="A1:E3"/>
    </sheetView>
  </sheetViews>
  <sheetFormatPr defaultRowHeight="15" x14ac:dyDescent="0.25"/>
  <cols>
    <col min="2" max="2" width="14.42578125" bestFit="1" customWidth="1"/>
    <col min="3" max="3" width="14.140625" bestFit="1" customWidth="1"/>
    <col min="4" max="4" width="16" bestFit="1" customWidth="1"/>
    <col min="5" max="5" width="18.140625" bestFit="1" customWidth="1"/>
  </cols>
  <sheetData>
    <row r="1" spans="1:5" x14ac:dyDescent="0.25">
      <c r="A1" t="s">
        <v>28</v>
      </c>
      <c r="B1" t="s">
        <v>87</v>
      </c>
      <c r="C1" t="s">
        <v>1</v>
      </c>
      <c r="D1" t="s">
        <v>2</v>
      </c>
      <c r="E1" t="s">
        <v>3</v>
      </c>
    </row>
    <row r="2" spans="1:5" x14ac:dyDescent="0.25">
      <c r="A2" s="1" t="s">
        <v>29</v>
      </c>
      <c r="B2" s="1" t="s">
        <v>88</v>
      </c>
      <c r="C2">
        <v>2101</v>
      </c>
      <c r="D2">
        <v>1584522.67</v>
      </c>
      <c r="E2">
        <v>754.18</v>
      </c>
    </row>
    <row r="3" spans="1:5" x14ac:dyDescent="0.25">
      <c r="A3" s="1" t="s">
        <v>30</v>
      </c>
      <c r="B3" s="1" t="s">
        <v>89</v>
      </c>
      <c r="C3">
        <v>1986</v>
      </c>
      <c r="D3">
        <v>1475945.54</v>
      </c>
      <c r="E3">
        <v>743.17</v>
      </c>
    </row>
    <row r="4" spans="1:5" x14ac:dyDescent="0.25">
      <c r="A4" s="1" t="s">
        <v>31</v>
      </c>
      <c r="B4" s="1" t="s">
        <v>90</v>
      </c>
      <c r="C4">
        <v>2048</v>
      </c>
      <c r="D4">
        <v>1466170.71</v>
      </c>
      <c r="E4">
        <v>715.9</v>
      </c>
    </row>
    <row r="5" spans="1:5" x14ac:dyDescent="0.25">
      <c r="A5" s="1" t="s">
        <v>32</v>
      </c>
      <c r="B5" s="1" t="s">
        <v>91</v>
      </c>
      <c r="C5">
        <v>865</v>
      </c>
      <c r="D5">
        <v>602454.47</v>
      </c>
      <c r="E5">
        <v>696.48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6B6F-C06C-4AA8-9957-41ED95A9D279}">
  <dimension ref="A1:D5"/>
  <sheetViews>
    <sheetView workbookViewId="0">
      <selection sqref="A1:E3"/>
    </sheetView>
  </sheetViews>
  <sheetFormatPr defaultRowHeight="15" x14ac:dyDescent="0.25"/>
  <cols>
    <col min="1" max="1" width="11.140625" bestFit="1" customWidth="1"/>
    <col min="2" max="2" width="14.140625" bestFit="1" customWidth="1"/>
    <col min="3" max="3" width="16" bestFit="1" customWidth="1"/>
    <col min="4" max="4" width="18.140625" bestFit="1" customWidth="1"/>
  </cols>
  <sheetData>
    <row r="1" spans="1:4" x14ac:dyDescent="0.25">
      <c r="A1" t="s">
        <v>14</v>
      </c>
      <c r="B1" t="s">
        <v>1</v>
      </c>
      <c r="C1" t="s">
        <v>2</v>
      </c>
      <c r="D1" t="s">
        <v>3</v>
      </c>
    </row>
    <row r="2" spans="1:4" x14ac:dyDescent="0.25">
      <c r="A2" s="1" t="s">
        <v>21</v>
      </c>
      <c r="B2">
        <v>2563</v>
      </c>
      <c r="C2">
        <v>1911527.26</v>
      </c>
      <c r="D2">
        <v>745.82</v>
      </c>
    </row>
    <row r="3" spans="1:4" x14ac:dyDescent="0.25">
      <c r="A3" s="1" t="s">
        <v>19</v>
      </c>
      <c r="B3">
        <v>1810</v>
      </c>
      <c r="C3">
        <v>1317118.8400000001</v>
      </c>
      <c r="D3">
        <v>727.69</v>
      </c>
    </row>
    <row r="4" spans="1:4" x14ac:dyDescent="0.25">
      <c r="A4" s="1" t="s">
        <v>17</v>
      </c>
      <c r="B4">
        <v>1777</v>
      </c>
      <c r="C4">
        <v>1296120.58</v>
      </c>
      <c r="D4">
        <v>729.39</v>
      </c>
    </row>
    <row r="5" spans="1:4" x14ac:dyDescent="0.25">
      <c r="A5" s="1" t="s">
        <v>27</v>
      </c>
      <c r="B5">
        <v>850</v>
      </c>
      <c r="C5">
        <v>604326.71</v>
      </c>
      <c r="D5">
        <v>710.97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FB64-AFA1-4849-B8E6-86BC5818AE55}">
  <dimension ref="A1:E5"/>
  <sheetViews>
    <sheetView workbookViewId="0">
      <selection sqref="A1:E3"/>
    </sheetView>
  </sheetViews>
  <sheetFormatPr defaultRowHeight="15" x14ac:dyDescent="0.25"/>
  <cols>
    <col min="1" max="1" width="21.42578125" bestFit="1" customWidth="1"/>
    <col min="2" max="2" width="14.140625" bestFit="1" customWidth="1"/>
    <col min="3" max="3" width="20" bestFit="1" customWidth="1"/>
    <col min="4" max="4" width="16" bestFit="1" customWidth="1"/>
    <col min="5" max="5" width="18.140625" bestFit="1" customWidth="1"/>
  </cols>
  <sheetData>
    <row r="1" spans="1:5" x14ac:dyDescent="0.25">
      <c r="A1" t="s">
        <v>33</v>
      </c>
      <c r="B1" t="s">
        <v>1</v>
      </c>
      <c r="C1" t="s">
        <v>34</v>
      </c>
      <c r="D1" t="s">
        <v>2</v>
      </c>
      <c r="E1" t="s">
        <v>3</v>
      </c>
    </row>
    <row r="2" spans="1:5" x14ac:dyDescent="0.25">
      <c r="A2" s="1" t="s">
        <v>35</v>
      </c>
      <c r="B2">
        <v>2336</v>
      </c>
      <c r="C2">
        <v>2267</v>
      </c>
      <c r="D2">
        <v>1699204.93</v>
      </c>
      <c r="E2">
        <v>727.4</v>
      </c>
    </row>
    <row r="3" spans="1:5" x14ac:dyDescent="0.25">
      <c r="A3" s="1" t="s">
        <v>36</v>
      </c>
      <c r="B3">
        <v>1601</v>
      </c>
      <c r="C3">
        <v>1568</v>
      </c>
      <c r="D3">
        <v>1159099.19</v>
      </c>
      <c r="E3">
        <v>723.98</v>
      </c>
    </row>
    <row r="4" spans="1:5" x14ac:dyDescent="0.25">
      <c r="A4" s="1" t="s">
        <v>37</v>
      </c>
      <c r="B4">
        <v>1556</v>
      </c>
      <c r="C4">
        <v>1525</v>
      </c>
      <c r="D4">
        <v>1149944.6299999999</v>
      </c>
      <c r="E4">
        <v>739.04</v>
      </c>
    </row>
    <row r="5" spans="1:5" x14ac:dyDescent="0.25">
      <c r="A5" s="1" t="s">
        <v>38</v>
      </c>
      <c r="B5">
        <v>1507</v>
      </c>
      <c r="C5">
        <v>1484</v>
      </c>
      <c r="D5">
        <v>1120844.6399999999</v>
      </c>
      <c r="E5">
        <v>743.76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95D3-A75A-467E-A77C-4D9151512BEF}">
  <dimension ref="A1:D7"/>
  <sheetViews>
    <sheetView workbookViewId="0">
      <selection sqref="A1:E3"/>
    </sheetView>
  </sheetViews>
  <sheetFormatPr defaultRowHeight="15" x14ac:dyDescent="0.25"/>
  <cols>
    <col min="1" max="1" width="12.5703125" bestFit="1" customWidth="1"/>
    <col min="2" max="2" width="14.140625" bestFit="1" customWidth="1"/>
    <col min="3" max="3" width="16" bestFit="1" customWidth="1"/>
    <col min="4" max="4" width="18.140625" bestFit="1" customWidth="1"/>
  </cols>
  <sheetData>
    <row r="1" spans="1:4" x14ac:dyDescent="0.25">
      <c r="A1" t="s">
        <v>39</v>
      </c>
      <c r="B1" t="s">
        <v>1</v>
      </c>
      <c r="C1" t="s">
        <v>2</v>
      </c>
      <c r="D1" t="s">
        <v>3</v>
      </c>
    </row>
    <row r="2" spans="1:4" x14ac:dyDescent="0.25">
      <c r="A2" s="1" t="s">
        <v>40</v>
      </c>
      <c r="B2">
        <v>1844</v>
      </c>
      <c r="C2">
        <v>1363520.26</v>
      </c>
      <c r="D2">
        <v>739.44</v>
      </c>
    </row>
    <row r="3" spans="1:4" x14ac:dyDescent="0.25">
      <c r="A3" s="1" t="s">
        <v>41</v>
      </c>
      <c r="B3">
        <v>1450</v>
      </c>
      <c r="C3">
        <v>1067171.8700000001</v>
      </c>
      <c r="D3">
        <v>735.98</v>
      </c>
    </row>
    <row r="4" spans="1:4" x14ac:dyDescent="0.25">
      <c r="A4" s="1" t="s">
        <v>42</v>
      </c>
      <c r="B4">
        <v>1396</v>
      </c>
      <c r="C4">
        <v>1019486.95</v>
      </c>
      <c r="D4">
        <v>730.29</v>
      </c>
    </row>
    <row r="5" spans="1:4" x14ac:dyDescent="0.25">
      <c r="A5" s="1" t="s">
        <v>43</v>
      </c>
      <c r="B5">
        <v>963</v>
      </c>
      <c r="C5">
        <v>705395.54</v>
      </c>
      <c r="D5">
        <v>732.5</v>
      </c>
    </row>
    <row r="6" spans="1:4" x14ac:dyDescent="0.25">
      <c r="A6" s="1" t="s">
        <v>44</v>
      </c>
      <c r="B6">
        <v>765</v>
      </c>
      <c r="C6">
        <v>561036.94999999995</v>
      </c>
      <c r="D6">
        <v>733.38</v>
      </c>
    </row>
    <row r="7" spans="1:4" x14ac:dyDescent="0.25">
      <c r="A7" s="1" t="s">
        <v>45</v>
      </c>
      <c r="B7">
        <v>582</v>
      </c>
      <c r="C7">
        <v>412481.82</v>
      </c>
      <c r="D7">
        <v>708.73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059E-E5EA-461F-A7E5-B3473506EF93}">
  <dimension ref="A1:D25"/>
  <sheetViews>
    <sheetView workbookViewId="0">
      <selection sqref="A1:E3"/>
    </sheetView>
  </sheetViews>
  <sheetFormatPr defaultRowHeight="15" x14ac:dyDescent="0.25"/>
  <cols>
    <col min="1" max="1" width="14.7109375" bestFit="1" customWidth="1"/>
    <col min="2" max="2" width="14.140625" bestFit="1" customWidth="1"/>
    <col min="3" max="3" width="16" bestFit="1" customWidth="1"/>
    <col min="4" max="4" width="18.140625" bestFit="1" customWidth="1"/>
  </cols>
  <sheetData>
    <row r="1" spans="1:4" x14ac:dyDescent="0.25">
      <c r="A1" t="s">
        <v>46</v>
      </c>
      <c r="B1" t="s">
        <v>1</v>
      </c>
      <c r="C1" t="s">
        <v>2</v>
      </c>
      <c r="D1" t="s">
        <v>3</v>
      </c>
    </row>
    <row r="2" spans="1:4" x14ac:dyDescent="0.25">
      <c r="A2" s="13" t="s">
        <v>47</v>
      </c>
      <c r="B2">
        <v>309</v>
      </c>
      <c r="C2">
        <v>241428.08</v>
      </c>
      <c r="D2">
        <v>781.32</v>
      </c>
    </row>
    <row r="3" spans="1:4" x14ac:dyDescent="0.25">
      <c r="A3" s="13" t="s">
        <v>48</v>
      </c>
      <c r="B3">
        <v>290</v>
      </c>
      <c r="C3">
        <v>223194.62</v>
      </c>
      <c r="D3">
        <v>769.64</v>
      </c>
    </row>
    <row r="4" spans="1:4" x14ac:dyDescent="0.25">
      <c r="A4" s="13" t="s">
        <v>59</v>
      </c>
      <c r="B4">
        <v>306</v>
      </c>
      <c r="C4">
        <v>232801.33</v>
      </c>
      <c r="D4">
        <v>760.79</v>
      </c>
    </row>
    <row r="5" spans="1:4" x14ac:dyDescent="0.25">
      <c r="A5" s="13" t="s">
        <v>64</v>
      </c>
      <c r="B5">
        <v>299</v>
      </c>
      <c r="C5">
        <v>219042.56</v>
      </c>
      <c r="D5">
        <v>732.58</v>
      </c>
    </row>
    <row r="6" spans="1:4" x14ac:dyDescent="0.25">
      <c r="A6" s="13" t="s">
        <v>65</v>
      </c>
      <c r="B6">
        <v>291</v>
      </c>
      <c r="C6">
        <v>201226.89</v>
      </c>
      <c r="D6">
        <v>691.5</v>
      </c>
    </row>
    <row r="7" spans="1:4" x14ac:dyDescent="0.25">
      <c r="A7" s="13" t="s">
        <v>66</v>
      </c>
      <c r="B7">
        <v>295</v>
      </c>
      <c r="C7">
        <v>223049.58</v>
      </c>
      <c r="D7">
        <v>756.1</v>
      </c>
    </row>
    <row r="8" spans="1:4" x14ac:dyDescent="0.25">
      <c r="A8" s="13" t="s">
        <v>67</v>
      </c>
      <c r="B8">
        <v>293</v>
      </c>
      <c r="C8">
        <v>206093.98</v>
      </c>
      <c r="D8">
        <v>703.39</v>
      </c>
    </row>
    <row r="9" spans="1:4" x14ac:dyDescent="0.25">
      <c r="A9" s="13" t="s">
        <v>68</v>
      </c>
      <c r="B9">
        <v>290</v>
      </c>
      <c r="C9">
        <v>208786.98</v>
      </c>
      <c r="D9">
        <v>719.96</v>
      </c>
    </row>
    <row r="10" spans="1:4" x14ac:dyDescent="0.25">
      <c r="A10" s="13" t="s">
        <v>69</v>
      </c>
      <c r="B10">
        <v>282</v>
      </c>
      <c r="C10">
        <v>212717.49</v>
      </c>
      <c r="D10">
        <v>754.32</v>
      </c>
    </row>
    <row r="11" spans="1:4" x14ac:dyDescent="0.25">
      <c r="A11" s="13" t="s">
        <v>70</v>
      </c>
      <c r="B11">
        <v>287</v>
      </c>
      <c r="C11">
        <v>209374.07</v>
      </c>
      <c r="D11">
        <v>729.53</v>
      </c>
    </row>
    <row r="12" spans="1:4" x14ac:dyDescent="0.25">
      <c r="A12" s="13" t="s">
        <v>49</v>
      </c>
      <c r="B12">
        <v>312</v>
      </c>
      <c r="C12">
        <v>241487.51</v>
      </c>
      <c r="D12">
        <v>774</v>
      </c>
    </row>
    <row r="13" spans="1:4" x14ac:dyDescent="0.25">
      <c r="A13" s="13" t="s">
        <v>50</v>
      </c>
      <c r="B13">
        <v>291</v>
      </c>
      <c r="C13">
        <v>193107.89</v>
      </c>
      <c r="D13">
        <v>663.6</v>
      </c>
    </row>
    <row r="14" spans="1:4" x14ac:dyDescent="0.25">
      <c r="A14" s="13" t="s">
        <v>51</v>
      </c>
      <c r="B14">
        <v>288</v>
      </c>
      <c r="C14">
        <v>216836.41</v>
      </c>
      <c r="D14">
        <v>752.9</v>
      </c>
    </row>
    <row r="15" spans="1:4" x14ac:dyDescent="0.25">
      <c r="A15" s="13" t="s">
        <v>52</v>
      </c>
      <c r="B15">
        <v>282</v>
      </c>
      <c r="C15">
        <v>202264.62</v>
      </c>
      <c r="D15">
        <v>717.25</v>
      </c>
    </row>
    <row r="16" spans="1:4" x14ac:dyDescent="0.25">
      <c r="A16" s="13" t="s">
        <v>53</v>
      </c>
      <c r="B16">
        <v>293</v>
      </c>
      <c r="C16">
        <v>219413.67</v>
      </c>
      <c r="D16">
        <v>748.85</v>
      </c>
    </row>
    <row r="17" spans="1:4" x14ac:dyDescent="0.25">
      <c r="A17" s="13" t="s">
        <v>54</v>
      </c>
      <c r="B17">
        <v>297</v>
      </c>
      <c r="C17">
        <v>222884.92</v>
      </c>
      <c r="D17">
        <v>750.45</v>
      </c>
    </row>
    <row r="18" spans="1:4" x14ac:dyDescent="0.25">
      <c r="A18" s="13" t="s">
        <v>55</v>
      </c>
      <c r="B18">
        <v>273</v>
      </c>
      <c r="C18">
        <v>205614.02</v>
      </c>
      <c r="D18">
        <v>753.16</v>
      </c>
    </row>
    <row r="19" spans="1:4" x14ac:dyDescent="0.25">
      <c r="A19" s="13" t="s">
        <v>56</v>
      </c>
      <c r="B19">
        <v>298</v>
      </c>
      <c r="C19">
        <v>224824.45</v>
      </c>
      <c r="D19">
        <v>754.44</v>
      </c>
    </row>
    <row r="20" spans="1:4" x14ac:dyDescent="0.25">
      <c r="A20" s="13" t="s">
        <v>57</v>
      </c>
      <c r="B20">
        <v>293</v>
      </c>
      <c r="C20">
        <v>202293.7</v>
      </c>
      <c r="D20">
        <v>690.42</v>
      </c>
    </row>
    <row r="21" spans="1:4" x14ac:dyDescent="0.25">
      <c r="A21" s="13" t="s">
        <v>58</v>
      </c>
      <c r="B21">
        <v>287</v>
      </c>
      <c r="C21">
        <v>194555.51999999999</v>
      </c>
      <c r="D21">
        <v>677.89</v>
      </c>
    </row>
    <row r="22" spans="1:4" x14ac:dyDescent="0.25">
      <c r="A22" s="13" t="s">
        <v>60</v>
      </c>
      <c r="B22">
        <v>298</v>
      </c>
      <c r="C22">
        <v>206910.55</v>
      </c>
      <c r="D22">
        <v>694.33</v>
      </c>
    </row>
    <row r="23" spans="1:4" x14ac:dyDescent="0.25">
      <c r="A23" s="13" t="s">
        <v>61</v>
      </c>
      <c r="B23">
        <v>280</v>
      </c>
      <c r="C23">
        <v>199457.47</v>
      </c>
      <c r="D23">
        <v>712.35</v>
      </c>
    </row>
    <row r="24" spans="1:4" x14ac:dyDescent="0.25">
      <c r="A24" s="13" t="s">
        <v>62</v>
      </c>
      <c r="B24">
        <v>283</v>
      </c>
      <c r="C24">
        <v>213274.11</v>
      </c>
      <c r="D24">
        <v>753.62</v>
      </c>
    </row>
    <row r="25" spans="1:4" x14ac:dyDescent="0.25">
      <c r="A25" s="13" t="s">
        <v>63</v>
      </c>
      <c r="B25">
        <v>283</v>
      </c>
      <c r="C25">
        <v>208452.97</v>
      </c>
      <c r="D25">
        <v>736.58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E96A-3DD4-4EBC-AF3F-750DE4F12F0C}">
  <dimension ref="A1:E9"/>
  <sheetViews>
    <sheetView workbookViewId="0">
      <selection sqref="A1:E3"/>
    </sheetView>
  </sheetViews>
  <sheetFormatPr defaultRowHeight="15" x14ac:dyDescent="0.25"/>
  <cols>
    <col min="1" max="1" width="18.42578125" bestFit="1" customWidth="1"/>
    <col min="2" max="2" width="20" bestFit="1" customWidth="1"/>
    <col min="3" max="3" width="12.42578125" bestFit="1" customWidth="1"/>
    <col min="4" max="4" width="14.140625" bestFit="1" customWidth="1"/>
    <col min="5" max="5" width="14.7109375" bestFit="1" customWidth="1"/>
  </cols>
  <sheetData>
    <row r="1" spans="1:5" x14ac:dyDescent="0.25">
      <c r="A1" t="s">
        <v>0</v>
      </c>
      <c r="B1" t="s">
        <v>71</v>
      </c>
      <c r="C1" t="s">
        <v>72</v>
      </c>
      <c r="D1" t="s">
        <v>1</v>
      </c>
      <c r="E1" t="s">
        <v>73</v>
      </c>
    </row>
    <row r="2" spans="1:5" x14ac:dyDescent="0.25">
      <c r="A2" s="1" t="s">
        <v>6</v>
      </c>
      <c r="B2">
        <v>62</v>
      </c>
      <c r="C2">
        <v>2.95</v>
      </c>
      <c r="D2">
        <v>853</v>
      </c>
      <c r="E2">
        <v>7.55</v>
      </c>
    </row>
    <row r="3" spans="1:5" x14ac:dyDescent="0.25">
      <c r="A3" s="1" t="s">
        <v>9</v>
      </c>
      <c r="B3">
        <v>64</v>
      </c>
      <c r="C3">
        <v>2.97</v>
      </c>
      <c r="D3">
        <v>869</v>
      </c>
      <c r="E3">
        <v>7.77</v>
      </c>
    </row>
    <row r="4" spans="1:5" x14ac:dyDescent="0.25">
      <c r="A4" s="1" t="s">
        <v>7</v>
      </c>
      <c r="B4">
        <v>64</v>
      </c>
      <c r="C4">
        <v>3</v>
      </c>
      <c r="D4">
        <v>897</v>
      </c>
      <c r="E4">
        <v>7.6</v>
      </c>
    </row>
    <row r="5" spans="1:5" x14ac:dyDescent="0.25">
      <c r="A5" s="1" t="s">
        <v>5</v>
      </c>
      <c r="B5">
        <v>64</v>
      </c>
      <c r="C5">
        <v>3.03</v>
      </c>
      <c r="D5">
        <v>898</v>
      </c>
      <c r="E5">
        <v>7.7</v>
      </c>
    </row>
    <row r="6" spans="1:5" x14ac:dyDescent="0.25">
      <c r="A6" s="1" t="s">
        <v>12</v>
      </c>
      <c r="B6">
        <v>65</v>
      </c>
      <c r="C6">
        <v>2.94</v>
      </c>
      <c r="D6">
        <v>847</v>
      </c>
      <c r="E6">
        <v>7.88</v>
      </c>
    </row>
    <row r="7" spans="1:5" x14ac:dyDescent="0.25">
      <c r="A7" s="1" t="s">
        <v>11</v>
      </c>
      <c r="B7">
        <v>65</v>
      </c>
      <c r="C7">
        <v>2.98</v>
      </c>
      <c r="D7">
        <v>872</v>
      </c>
      <c r="E7">
        <v>7.53</v>
      </c>
    </row>
    <row r="8" spans="1:5" x14ac:dyDescent="0.25">
      <c r="A8" s="1" t="s">
        <v>10</v>
      </c>
      <c r="B8">
        <v>65</v>
      </c>
      <c r="C8">
        <v>3.03</v>
      </c>
      <c r="D8">
        <v>885</v>
      </c>
      <c r="E8">
        <v>7.78</v>
      </c>
    </row>
    <row r="9" spans="1:5" x14ac:dyDescent="0.25">
      <c r="A9" s="1" t="s">
        <v>8</v>
      </c>
      <c r="B9">
        <v>66</v>
      </c>
      <c r="C9">
        <v>2.96</v>
      </c>
      <c r="D9">
        <v>879</v>
      </c>
      <c r="E9">
        <v>7.85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2685-493D-4A5C-B4F2-1D4BF36ECD3A}">
  <dimension ref="A1:E3"/>
  <sheetViews>
    <sheetView workbookViewId="0">
      <selection sqref="A1:E3"/>
    </sheetView>
  </sheetViews>
  <sheetFormatPr defaultRowHeight="15" x14ac:dyDescent="0.25"/>
  <cols>
    <col min="1" max="1" width="13.7109375" bestFit="1" customWidth="1"/>
    <col min="2" max="2" width="14.140625" bestFit="1" customWidth="1"/>
    <col min="3" max="3" width="16" bestFit="1" customWidth="1"/>
    <col min="4" max="4" width="18.140625" bestFit="1" customWidth="1"/>
    <col min="5" max="5" width="20" bestFit="1" customWidth="1"/>
  </cols>
  <sheetData>
    <row r="1" spans="1:5" x14ac:dyDescent="0.25">
      <c r="A1" t="s">
        <v>74</v>
      </c>
      <c r="B1" t="s">
        <v>1</v>
      </c>
      <c r="C1" t="s">
        <v>2</v>
      </c>
      <c r="D1" t="s">
        <v>3</v>
      </c>
      <c r="E1" t="s">
        <v>71</v>
      </c>
    </row>
    <row r="2" spans="1:5" x14ac:dyDescent="0.25">
      <c r="A2" s="1" t="s">
        <v>75</v>
      </c>
      <c r="B2">
        <v>309</v>
      </c>
      <c r="C2">
        <v>224691.82</v>
      </c>
      <c r="D2">
        <v>727.16</v>
      </c>
      <c r="E2">
        <v>63</v>
      </c>
    </row>
    <row r="3" spans="1:5" x14ac:dyDescent="0.25">
      <c r="A3" s="1" t="s">
        <v>76</v>
      </c>
      <c r="B3">
        <v>6691</v>
      </c>
      <c r="C3">
        <v>4904401.57</v>
      </c>
      <c r="D3">
        <v>732.98</v>
      </c>
      <c r="E3">
        <v>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80ED-C94F-48A0-B159-9BB32DAEE56C}">
  <dimension ref="A1:D4"/>
  <sheetViews>
    <sheetView workbookViewId="0">
      <selection sqref="A1:E3"/>
    </sheetView>
  </sheetViews>
  <sheetFormatPr defaultRowHeight="15" x14ac:dyDescent="0.25"/>
  <cols>
    <col min="1" max="1" width="15.140625" bestFit="1" customWidth="1"/>
    <col min="2" max="2" width="14.140625" bestFit="1" customWidth="1"/>
    <col min="3" max="3" width="16" bestFit="1" customWidth="1"/>
    <col min="4" max="4" width="18.140625" bestFit="1" customWidth="1"/>
  </cols>
  <sheetData>
    <row r="1" spans="1:4" x14ac:dyDescent="0.25">
      <c r="A1" t="s">
        <v>77</v>
      </c>
      <c r="B1" t="s">
        <v>1</v>
      </c>
      <c r="C1" t="s">
        <v>2</v>
      </c>
      <c r="D1" t="s">
        <v>3</v>
      </c>
    </row>
    <row r="2" spans="1:4" x14ac:dyDescent="0.25">
      <c r="A2" s="1" t="s">
        <v>78</v>
      </c>
      <c r="B2">
        <v>2348</v>
      </c>
      <c r="C2">
        <v>1728342.26</v>
      </c>
      <c r="D2">
        <v>736.09</v>
      </c>
    </row>
    <row r="3" spans="1:4" x14ac:dyDescent="0.25">
      <c r="A3" s="1" t="s">
        <v>79</v>
      </c>
      <c r="B3">
        <v>2324</v>
      </c>
      <c r="C3">
        <v>1715853.27</v>
      </c>
      <c r="D3">
        <v>738.32</v>
      </c>
    </row>
    <row r="4" spans="1:4" x14ac:dyDescent="0.25">
      <c r="A4" s="1" t="s">
        <v>80</v>
      </c>
      <c r="B4">
        <v>2328</v>
      </c>
      <c r="C4">
        <v>1684897.86</v>
      </c>
      <c r="D4">
        <v>723.75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913D-1200-4730-B929-4B053CD4BC66}">
  <dimension ref="A1:D4"/>
  <sheetViews>
    <sheetView workbookViewId="0">
      <selection sqref="A1:E3"/>
    </sheetView>
  </sheetViews>
  <sheetFormatPr defaultRowHeight="15" x14ac:dyDescent="0.25"/>
  <cols>
    <col min="1" max="1" width="18.42578125" bestFit="1" customWidth="1"/>
    <col min="2" max="2" width="14.140625" bestFit="1" customWidth="1"/>
    <col min="3" max="3" width="16" bestFit="1" customWidth="1"/>
    <col min="4" max="4" width="18.140625" bestFit="1" customWidth="1"/>
  </cols>
  <sheetData>
    <row r="1" spans="1:4" x14ac:dyDescent="0.25">
      <c r="A1" t="s">
        <v>81</v>
      </c>
      <c r="B1" t="s">
        <v>1</v>
      </c>
      <c r="C1" t="s">
        <v>2</v>
      </c>
      <c r="D1" t="s">
        <v>3</v>
      </c>
    </row>
    <row r="2" spans="1:4" x14ac:dyDescent="0.25">
      <c r="A2" s="1" t="s">
        <v>82</v>
      </c>
      <c r="B2">
        <v>3058</v>
      </c>
      <c r="C2">
        <v>2210165.2799999998</v>
      </c>
      <c r="D2">
        <v>722.75</v>
      </c>
    </row>
    <row r="3" spans="1:4" x14ac:dyDescent="0.25">
      <c r="A3" s="1" t="s">
        <v>83</v>
      </c>
      <c r="B3">
        <v>2957</v>
      </c>
      <c r="C3">
        <v>2197434.73</v>
      </c>
      <c r="D3">
        <v>743.13</v>
      </c>
    </row>
    <row r="4" spans="1:4" x14ac:dyDescent="0.25">
      <c r="A4" s="1" t="s">
        <v>84</v>
      </c>
      <c r="B4">
        <v>985</v>
      </c>
      <c r="C4">
        <v>721493.38</v>
      </c>
      <c r="D4">
        <v>732.48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2563-EA10-4F59-8869-0E9805817338}">
  <dimension ref="A1:F9"/>
  <sheetViews>
    <sheetView workbookViewId="0">
      <selection sqref="A1:E3"/>
    </sheetView>
  </sheetViews>
  <sheetFormatPr defaultRowHeight="15" x14ac:dyDescent="0.25"/>
  <cols>
    <col min="1" max="1" width="18" bestFit="1" customWidth="1"/>
    <col min="2" max="2" width="11.140625" bestFit="1" customWidth="1"/>
    <col min="3" max="3" width="14.140625" bestFit="1" customWidth="1"/>
    <col min="4" max="4" width="16" bestFit="1" customWidth="1"/>
    <col min="5" max="5" width="18.140625" bestFit="1" customWidth="1"/>
    <col min="6" max="6" width="20.28515625" bestFit="1" customWidth="1"/>
  </cols>
  <sheetData>
    <row r="1" spans="1:6" x14ac:dyDescent="0.25">
      <c r="A1" t="s">
        <v>13</v>
      </c>
      <c r="B1" t="s">
        <v>14</v>
      </c>
      <c r="C1" t="s">
        <v>1</v>
      </c>
      <c r="D1" t="s">
        <v>2</v>
      </c>
      <c r="E1" t="s">
        <v>3</v>
      </c>
      <c r="F1" t="s">
        <v>15</v>
      </c>
    </row>
    <row r="2" spans="1:6" x14ac:dyDescent="0.25">
      <c r="A2" s="1" t="s">
        <v>16</v>
      </c>
      <c r="B2" s="1" t="s">
        <v>17</v>
      </c>
      <c r="C2">
        <v>932</v>
      </c>
      <c r="D2">
        <v>684024.07</v>
      </c>
      <c r="E2">
        <v>733.93</v>
      </c>
      <c r="F2">
        <v>6.1</v>
      </c>
    </row>
    <row r="3" spans="1:6" x14ac:dyDescent="0.25">
      <c r="A3" s="1" t="s">
        <v>18</v>
      </c>
      <c r="B3" s="1" t="s">
        <v>19</v>
      </c>
      <c r="C3">
        <v>936</v>
      </c>
      <c r="D3">
        <v>680277.18</v>
      </c>
      <c r="E3">
        <v>726.79</v>
      </c>
      <c r="F3">
        <v>6.1</v>
      </c>
    </row>
    <row r="4" spans="1:6" x14ac:dyDescent="0.25">
      <c r="A4" s="1" t="s">
        <v>20</v>
      </c>
      <c r="B4" s="1" t="s">
        <v>21</v>
      </c>
      <c r="C4">
        <v>887</v>
      </c>
      <c r="D4">
        <v>652374.59</v>
      </c>
      <c r="E4">
        <v>735.48</v>
      </c>
      <c r="F4">
        <v>6</v>
      </c>
    </row>
    <row r="5" spans="1:6" x14ac:dyDescent="0.25">
      <c r="A5" s="1" t="s">
        <v>22</v>
      </c>
      <c r="B5" s="1" t="s">
        <v>21</v>
      </c>
      <c r="C5">
        <v>855</v>
      </c>
      <c r="D5">
        <v>641740.15</v>
      </c>
      <c r="E5">
        <v>750.57</v>
      </c>
      <c r="F5">
        <v>6.1</v>
      </c>
    </row>
    <row r="6" spans="1:6" x14ac:dyDescent="0.25">
      <c r="A6" s="1" t="s">
        <v>23</v>
      </c>
      <c r="B6" s="1" t="s">
        <v>19</v>
      </c>
      <c r="C6">
        <v>874</v>
      </c>
      <c r="D6">
        <v>636841.66</v>
      </c>
      <c r="E6">
        <v>728.65</v>
      </c>
      <c r="F6">
        <v>5.9</v>
      </c>
    </row>
    <row r="7" spans="1:6" x14ac:dyDescent="0.25">
      <c r="A7" s="1" t="s">
        <v>24</v>
      </c>
      <c r="B7" s="1" t="s">
        <v>21</v>
      </c>
      <c r="C7">
        <v>821</v>
      </c>
      <c r="D7">
        <v>617412.52</v>
      </c>
      <c r="E7">
        <v>752.02</v>
      </c>
      <c r="F7">
        <v>6.1</v>
      </c>
    </row>
    <row r="8" spans="1:6" x14ac:dyDescent="0.25">
      <c r="A8" s="1" t="s">
        <v>25</v>
      </c>
      <c r="B8" s="1" t="s">
        <v>17</v>
      </c>
      <c r="C8">
        <v>845</v>
      </c>
      <c r="D8">
        <v>612096.51</v>
      </c>
      <c r="E8">
        <v>724.37</v>
      </c>
      <c r="F8">
        <v>6</v>
      </c>
    </row>
    <row r="9" spans="1:6" x14ac:dyDescent="0.25">
      <c r="A9" s="1" t="s">
        <v>26</v>
      </c>
      <c r="B9" s="1" t="s">
        <v>27</v>
      </c>
      <c r="C9">
        <v>850</v>
      </c>
      <c r="D9">
        <v>604326.71</v>
      </c>
      <c r="E9">
        <v>710.97</v>
      </c>
      <c r="F9">
        <v>5.9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5436-628E-4E25-9DF9-95F1DC621CB0}">
  <dimension ref="A1:F9"/>
  <sheetViews>
    <sheetView workbookViewId="0">
      <selection sqref="A1:E3"/>
    </sheetView>
  </sheetViews>
  <sheetFormatPr defaultRowHeight="15" x14ac:dyDescent="0.25"/>
  <cols>
    <col min="1" max="1" width="18.42578125" bestFit="1" customWidth="1"/>
    <col min="2" max="2" width="14.140625" bestFit="1" customWidth="1"/>
    <col min="3" max="3" width="16" bestFit="1" customWidth="1"/>
    <col min="4" max="4" width="18.140625" bestFit="1" customWidth="1"/>
    <col min="5" max="5" width="1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92</v>
      </c>
    </row>
    <row r="2" spans="1:6" x14ac:dyDescent="0.25">
      <c r="A2" s="1" t="s">
        <v>5</v>
      </c>
      <c r="B2">
        <v>898</v>
      </c>
      <c r="C2">
        <v>667438.68000000005</v>
      </c>
      <c r="D2">
        <v>743.25</v>
      </c>
      <c r="E2">
        <v>13.01</v>
      </c>
      <c r="F2">
        <f t="shared" ref="F2:F9" si="0">RANK(C2, $C$2:$C$9, 0)</f>
        <v>1</v>
      </c>
    </row>
    <row r="3" spans="1:6" x14ac:dyDescent="0.25">
      <c r="A3" s="1" t="s">
        <v>6</v>
      </c>
      <c r="B3">
        <v>853</v>
      </c>
      <c r="C3">
        <v>657050.82999999996</v>
      </c>
      <c r="D3">
        <v>770.28</v>
      </c>
      <c r="E3">
        <v>12.81</v>
      </c>
      <c r="F3">
        <f t="shared" si="0"/>
        <v>2</v>
      </c>
    </row>
    <row r="4" spans="1:6" x14ac:dyDescent="0.25">
      <c r="A4" s="1" t="s">
        <v>7</v>
      </c>
      <c r="B4">
        <v>897</v>
      </c>
      <c r="C4">
        <v>655367.4</v>
      </c>
      <c r="D4">
        <v>730.62</v>
      </c>
      <c r="E4">
        <v>12.78</v>
      </c>
      <c r="F4">
        <f t="shared" si="0"/>
        <v>3</v>
      </c>
    </row>
    <row r="5" spans="1:6" x14ac:dyDescent="0.25">
      <c r="A5" s="1" t="s">
        <v>8</v>
      </c>
      <c r="B5">
        <v>879</v>
      </c>
      <c r="C5">
        <v>644105.22</v>
      </c>
      <c r="D5">
        <v>732.77</v>
      </c>
      <c r="E5">
        <v>12.56</v>
      </c>
      <c r="F5">
        <f t="shared" si="0"/>
        <v>4</v>
      </c>
    </row>
    <row r="6" spans="1:6" x14ac:dyDescent="0.25">
      <c r="A6" s="1" t="s">
        <v>9</v>
      </c>
      <c r="B6">
        <v>869</v>
      </c>
      <c r="C6">
        <v>640203.55000000005</v>
      </c>
      <c r="D6">
        <v>736.71</v>
      </c>
      <c r="E6">
        <v>12.48</v>
      </c>
      <c r="F6">
        <f t="shared" si="0"/>
        <v>5</v>
      </c>
    </row>
    <row r="7" spans="1:6" x14ac:dyDescent="0.25">
      <c r="A7" s="1" t="s">
        <v>10</v>
      </c>
      <c r="B7">
        <v>885</v>
      </c>
      <c r="C7">
        <v>629411.29</v>
      </c>
      <c r="D7">
        <v>711.2</v>
      </c>
      <c r="E7">
        <v>12.27</v>
      </c>
      <c r="F7">
        <f t="shared" si="0"/>
        <v>6</v>
      </c>
    </row>
    <row r="8" spans="1:6" x14ac:dyDescent="0.25">
      <c r="A8" s="1" t="s">
        <v>11</v>
      </c>
      <c r="B8">
        <v>872</v>
      </c>
      <c r="C8">
        <v>624860</v>
      </c>
      <c r="D8">
        <v>716.58</v>
      </c>
      <c r="E8">
        <v>12.18</v>
      </c>
      <c r="F8">
        <f t="shared" si="0"/>
        <v>7</v>
      </c>
    </row>
    <row r="9" spans="1:6" x14ac:dyDescent="0.25">
      <c r="A9" s="1" t="s">
        <v>12</v>
      </c>
      <c r="B9">
        <v>847</v>
      </c>
      <c r="C9">
        <v>610656.42000000004</v>
      </c>
      <c r="D9">
        <v>720.96</v>
      </c>
      <c r="E9">
        <v>11.91</v>
      </c>
      <c r="F9">
        <f t="shared" si="0"/>
        <v>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5C21-A064-4B3E-B3DD-6BE778330054}">
  <dimension ref="A1:G2"/>
  <sheetViews>
    <sheetView workbookViewId="0">
      <selection sqref="A1:E3"/>
    </sheetView>
  </sheetViews>
  <sheetFormatPr defaultRowHeight="15" x14ac:dyDescent="0.25"/>
  <cols>
    <col min="1" max="1" width="14.140625" bestFit="1" customWidth="1"/>
    <col min="2" max="2" width="16" bestFit="1" customWidth="1"/>
    <col min="3" max="3" width="18.140625" bestFit="1" customWidth="1"/>
    <col min="4" max="4" width="12.42578125" bestFit="1" customWidth="1"/>
    <col min="5" max="5" width="20" bestFit="1" customWidth="1"/>
    <col min="6" max="6" width="18.7109375" bestFit="1" customWidth="1"/>
    <col min="7" max="7" width="24.42578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72</v>
      </c>
      <c r="E1" t="s">
        <v>71</v>
      </c>
      <c r="F1" t="s">
        <v>85</v>
      </c>
      <c r="G1" t="s">
        <v>86</v>
      </c>
    </row>
    <row r="2" spans="1:7" x14ac:dyDescent="0.25">
      <c r="A2">
        <v>7000</v>
      </c>
      <c r="B2" s="3">
        <v>5129093.3899999997</v>
      </c>
      <c r="C2" s="4">
        <v>732.73</v>
      </c>
      <c r="D2">
        <v>2.98</v>
      </c>
      <c r="E2">
        <v>64</v>
      </c>
      <c r="F2">
        <v>3.03</v>
      </c>
      <c r="G2">
        <v>799.55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0F37-8A8D-46A9-A82E-E69742E64991}">
  <dimension ref="L13:T21"/>
  <sheetViews>
    <sheetView showGridLines="0" tabSelected="1" zoomScale="82" zoomScaleNormal="82" workbookViewId="0">
      <selection activeCell="U53" sqref="U53"/>
    </sheetView>
  </sheetViews>
  <sheetFormatPr defaultRowHeight="15" x14ac:dyDescent="0.25"/>
  <cols>
    <col min="1" max="14" width="9.140625" style="2"/>
    <col min="15" max="15" width="8.5703125" style="2" customWidth="1"/>
    <col min="16" max="16" width="12.28515625" style="2" bestFit="1" customWidth="1"/>
    <col min="17" max="17" width="8.28515625" style="2" customWidth="1"/>
    <col min="18" max="18" width="12.42578125" style="2" customWidth="1"/>
    <col min="19" max="19" width="11.28515625" style="2" customWidth="1"/>
    <col min="20" max="20" width="11" style="2" customWidth="1"/>
    <col min="21" max="21" width="1.85546875" style="2" customWidth="1"/>
    <col min="22" max="16384" width="9.140625" style="2"/>
  </cols>
  <sheetData>
    <row r="13" spans="12:20" x14ac:dyDescent="0.25">
      <c r="L13" s="5" t="s">
        <v>92</v>
      </c>
      <c r="M13" s="6"/>
      <c r="N13" s="5" t="s">
        <v>0</v>
      </c>
      <c r="O13" s="6"/>
      <c r="P13" s="5" t="s">
        <v>93</v>
      </c>
      <c r="Q13" s="6"/>
      <c r="R13" s="5" t="s">
        <v>94</v>
      </c>
      <c r="S13" s="6"/>
      <c r="T13" s="5" t="s">
        <v>95</v>
      </c>
    </row>
    <row r="14" spans="12:20" x14ac:dyDescent="0.25">
      <c r="L14" s="7">
        <f>'Revenue_Branch'!F2</f>
        <v>1</v>
      </c>
      <c r="M14" s="7"/>
      <c r="N14" s="7" t="str">
        <f>'Revenue_Branch'!A2</f>
        <v>Cairo-Nasr City</v>
      </c>
      <c r="O14" s="7"/>
      <c r="P14" s="8">
        <f>'Revenue_Branch'!C2</f>
        <v>667438.68000000005</v>
      </c>
      <c r="Q14" s="7"/>
      <c r="R14" s="7">
        <f>'Revenue_Branch'!B2</f>
        <v>898</v>
      </c>
      <c r="S14" s="7"/>
      <c r="T14" s="7">
        <f>'Revenue_Branch'!E2</f>
        <v>13.01</v>
      </c>
    </row>
    <row r="15" spans="12:20" x14ac:dyDescent="0.25">
      <c r="L15" s="9">
        <f>'Revenue_Branch'!F3</f>
        <v>2</v>
      </c>
      <c r="M15" s="9"/>
      <c r="N15" s="9" t="str">
        <f>'Revenue_Branch'!A3</f>
        <v>Cairo-Zamalek</v>
      </c>
      <c r="O15" s="9"/>
      <c r="P15" s="10">
        <f>'Revenue_Branch'!C3</f>
        <v>657050.82999999996</v>
      </c>
      <c r="Q15" s="9"/>
      <c r="R15" s="9">
        <f>'Revenue_Branch'!B3</f>
        <v>853</v>
      </c>
      <c r="S15" s="9"/>
      <c r="T15" s="9">
        <f>'Revenue_Branch'!E3</f>
        <v>12.81</v>
      </c>
    </row>
    <row r="16" spans="12:20" x14ac:dyDescent="0.25">
      <c r="L16" s="11">
        <f>'Revenue_Branch'!F4</f>
        <v>3</v>
      </c>
      <c r="M16" s="11"/>
      <c r="N16" s="11" t="str">
        <f>'Revenue_Branch'!A4</f>
        <v>Giza-Zayed</v>
      </c>
      <c r="O16" s="11"/>
      <c r="P16" s="12">
        <f>'Revenue_Branch'!C4</f>
        <v>655367.4</v>
      </c>
      <c r="Q16" s="11"/>
      <c r="R16" s="11">
        <f>'Revenue_Branch'!B4</f>
        <v>897</v>
      </c>
      <c r="S16" s="11"/>
      <c r="T16" s="11">
        <f>'Revenue_Branch'!E4</f>
        <v>12.78</v>
      </c>
    </row>
    <row r="17" spans="12:20" x14ac:dyDescent="0.25">
      <c r="L17" s="9">
        <f>'Revenue_Branch'!F5</f>
        <v>4</v>
      </c>
      <c r="M17" s="9"/>
      <c r="N17" s="9" t="str">
        <f>'Revenue_Branch'!A5</f>
        <v>Riyadh-Olaya</v>
      </c>
      <c r="O17" s="9"/>
      <c r="P17" s="10">
        <f>'Revenue_Branch'!C5</f>
        <v>644105.22</v>
      </c>
      <c r="Q17" s="9"/>
      <c r="R17" s="9">
        <f>'Revenue_Branch'!B5</f>
        <v>879</v>
      </c>
      <c r="S17" s="9"/>
      <c r="T17" s="9">
        <f>'Revenue_Branch'!E5</f>
        <v>12.56</v>
      </c>
    </row>
    <row r="18" spans="12:20" x14ac:dyDescent="0.25">
      <c r="L18" s="11">
        <f>'Revenue_Branch'!F6</f>
        <v>5</v>
      </c>
      <c r="M18" s="11"/>
      <c r="N18" s="11" t="str">
        <f>'Revenue_Branch'!A6</f>
        <v>Dubai-Marina</v>
      </c>
      <c r="O18" s="11"/>
      <c r="P18" s="12">
        <f>'Revenue_Branch'!C6</f>
        <v>640203.55000000005</v>
      </c>
      <c r="Q18" s="11"/>
      <c r="R18" s="11">
        <f>'Revenue_Branch'!B6</f>
        <v>869</v>
      </c>
      <c r="S18" s="11"/>
      <c r="T18" s="11">
        <f>'Revenue_Branch'!E6</f>
        <v>12.48</v>
      </c>
    </row>
    <row r="19" spans="12:20" x14ac:dyDescent="0.25">
      <c r="L19" s="9">
        <f>'Revenue_Branch'!F7</f>
        <v>6</v>
      </c>
      <c r="M19" s="9"/>
      <c r="N19" s="9" t="str">
        <f>'Revenue_Branch'!A7</f>
        <v>Mansoura-Mashaya</v>
      </c>
      <c r="O19" s="9"/>
      <c r="P19" s="10">
        <f>'Revenue_Branch'!C7</f>
        <v>629411.29</v>
      </c>
      <c r="Q19" s="9"/>
      <c r="R19" s="9">
        <f>'Revenue_Branch'!B7</f>
        <v>885</v>
      </c>
      <c r="S19" s="9"/>
      <c r="T19" s="9">
        <f>'Revenue_Branch'!E7</f>
        <v>12.27</v>
      </c>
    </row>
    <row r="20" spans="12:20" x14ac:dyDescent="0.25">
      <c r="L20" s="11">
        <f>'Revenue_Branch'!F8</f>
        <v>7</v>
      </c>
      <c r="M20" s="11"/>
      <c r="N20" s="11" t="str">
        <f>'Revenue_Branch'!A8</f>
        <v>Tanta-Saeed</v>
      </c>
      <c r="O20" s="11"/>
      <c r="P20" s="12">
        <f>'Revenue_Branch'!C8</f>
        <v>624860</v>
      </c>
      <c r="Q20" s="11"/>
      <c r="R20" s="11">
        <f>'Revenue_Branch'!B8</f>
        <v>872</v>
      </c>
      <c r="S20" s="11"/>
      <c r="T20" s="11">
        <f>'Revenue_Branch'!E8</f>
        <v>12.18</v>
      </c>
    </row>
    <row r="21" spans="12:20" x14ac:dyDescent="0.25">
      <c r="L21" s="9">
        <f>'Revenue_Branch'!F9</f>
        <v>8</v>
      </c>
      <c r="M21" s="9"/>
      <c r="N21" s="9" t="str">
        <f>'Revenue_Branch'!A9</f>
        <v>Alex-Stanly</v>
      </c>
      <c r="O21" s="9"/>
      <c r="P21" s="10">
        <f>'Revenue_Branch'!C9</f>
        <v>610656.42000000004</v>
      </c>
      <c r="Q21" s="9"/>
      <c r="R21" s="9">
        <f>'Revenue_Branch'!B9</f>
        <v>847</v>
      </c>
      <c r="S21" s="9"/>
      <c r="T21" s="9">
        <f>'Revenue_Branch'!E9</f>
        <v>11.91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E04726-8C88-4815-BF41-84ED1E2FD3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Revenue_Monthly</vt:lpstr>
      <vt:lpstr>Revenue_Category</vt:lpstr>
      <vt:lpstr>Customer_Membership</vt:lpstr>
      <vt:lpstr>Customer_AgeGroup</vt:lpstr>
      <vt:lpstr>Ops_PeakHours</vt:lpstr>
      <vt:lpstr>Ops_Delivery</vt:lpstr>
      <vt:lpstr>External_Holiday</vt:lpstr>
      <vt:lpstr>External_Temperature</vt:lpstr>
      <vt:lpstr>External_Humidity</vt:lpstr>
      <vt:lpstr>Revenue_Product</vt:lpstr>
      <vt:lpstr>Revenue_Branch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NoteBook</cp:lastModifiedBy>
  <dcterms:created xsi:type="dcterms:W3CDTF">2026-05-19T12:57:49Z</dcterms:created>
  <dcterms:modified xsi:type="dcterms:W3CDTF">2026-05-21T14:20:32Z</dcterms:modified>
</cp:coreProperties>
</file>